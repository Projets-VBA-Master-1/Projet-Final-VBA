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DALLAH\Documents\"/>
    </mc:Choice>
  </mc:AlternateContent>
  <xr:revisionPtr revIDLastSave="0" documentId="13_ncr:1_{67F0740E-5A00-4D68-B2F8-F6D51A45657B}" xr6:coauthVersionLast="45" xr6:coauthVersionMax="45" xr10:uidLastSave="{00000000-0000-0000-0000-000000000000}"/>
  <bookViews>
    <workbookView xWindow="-120" yWindow="-120" windowWidth="20730" windowHeight="11760" firstSheet="2" activeTab="4" xr2:uid="{00000000-000D-0000-FFFF-FFFF00000000}"/>
  </bookViews>
  <sheets>
    <sheet name="livre" sheetId="1" state="hidden" r:id="rId1"/>
    <sheet name="journal" sheetId="2" state="hidden" r:id="rId2"/>
    <sheet name="bulletin" sheetId="3" r:id="rId3"/>
    <sheet name="donnees" sheetId="6" state="hidden" r:id="rId4"/>
    <sheet name="dashboard" sheetId="4" r:id="rId5"/>
    <sheet name="camembert" sheetId="12" state="hidden" r:id="rId6"/>
    <sheet name="categorie" sheetId="14" state="hidden" r:id="rId7"/>
    <sheet name="ipres" sheetId="15" state="hidden" r:id="rId8"/>
    <sheet name="civilite" sheetId="16" state="hidden" r:id="rId9"/>
    <sheet name="age" sheetId="17" state="hidden" r:id="rId10"/>
    <sheet name="base" sheetId="11" state="hidden" r:id="rId11"/>
    <sheet name="Catégorie" sheetId="7" state="hidden" r:id="rId12"/>
    <sheet name="Sexe" sheetId="8" state="hidden" r:id="rId13"/>
    <sheet name="EtatMat" sheetId="10" state="hidden" r:id="rId14"/>
  </sheets>
  <functionGroups builtInGroupCount="19"/>
  <definedNames>
    <definedName name="liste">OFFSET(donnees!#REF!,0,0,COUNTA(donnees!$B:$B)-1)</definedName>
    <definedName name="Segment_Age">#N/A</definedName>
    <definedName name="Segment_Catégorie">#N/A</definedName>
    <definedName name="Segment_Etat_Civil">#N/A</definedName>
    <definedName name="Segment_IPRES">#N/A</definedName>
    <definedName name="Segment_Sexe">#N/A</definedName>
    <definedName name="Segment_Sexe1">#N/A</definedName>
  </definedNames>
  <calcPr calcId="181029"/>
  <pivotCaches>
    <pivotCache cacheId="0" r:id="rId15"/>
    <pivotCache cacheId="1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  <x14:slicerCache r:id="rId19"/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Y5" i="6" l="1"/>
  <c r="AY6" i="6"/>
  <c r="AY7" i="6"/>
  <c r="AY8" i="6"/>
  <c r="AY9" i="6"/>
  <c r="AY10" i="6"/>
  <c r="AY11" i="6"/>
  <c r="AY12" i="6"/>
  <c r="AY13" i="6"/>
  <c r="AY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2" i="1"/>
  <c r="AU48" i="6"/>
  <c r="AU49" i="6"/>
  <c r="AU50" i="6"/>
  <c r="AU51" i="6"/>
  <c r="AK48" i="6"/>
  <c r="AN48" i="6" s="1"/>
  <c r="AK51" i="6"/>
  <c r="AN51" i="6" s="1"/>
  <c r="AJ47" i="6"/>
  <c r="AJ48" i="6"/>
  <c r="AJ49" i="6"/>
  <c r="AK49" i="6" s="1"/>
  <c r="AJ50" i="6"/>
  <c r="AK50" i="6" s="1"/>
  <c r="AJ51" i="6"/>
  <c r="AE48" i="6"/>
  <c r="AE49" i="6"/>
  <c r="AE50" i="6"/>
  <c r="AE51" i="6"/>
  <c r="X48" i="6"/>
  <c r="X49" i="6"/>
  <c r="X50" i="6"/>
  <c r="X51" i="6"/>
  <c r="H40" i="3"/>
  <c r="H37" i="3"/>
  <c r="H36" i="3"/>
  <c r="H33" i="3"/>
  <c r="H27" i="3"/>
  <c r="D14" i="3"/>
  <c r="D12" i="3"/>
  <c r="D10" i="3"/>
  <c r="H10" i="3"/>
  <c r="H14" i="3"/>
  <c r="I8" i="3"/>
  <c r="D16" i="3"/>
  <c r="Y2" i="11"/>
  <c r="Y6" i="11"/>
  <c r="Y10" i="11"/>
  <c r="Y14" i="11"/>
  <c r="Y18" i="11"/>
  <c r="Y22" i="11"/>
  <c r="Y26" i="11"/>
  <c r="Y30" i="11"/>
  <c r="Y34" i="11"/>
  <c r="Y38" i="11"/>
  <c r="Y42" i="11"/>
  <c r="Y46" i="11"/>
  <c r="Y50" i="11"/>
  <c r="Y7" i="11"/>
  <c r="Y11" i="11"/>
  <c r="Y15" i="11"/>
  <c r="Y19" i="11"/>
  <c r="Y23" i="11"/>
  <c r="Y27" i="11"/>
  <c r="Y31" i="11"/>
  <c r="Y35" i="11"/>
  <c r="Y39" i="11"/>
  <c r="Y43" i="11"/>
  <c r="Y47" i="11"/>
  <c r="Y51" i="11"/>
  <c r="Y8" i="11"/>
  <c r="Y12" i="11"/>
  <c r="Y16" i="11"/>
  <c r="Y20" i="11"/>
  <c r="Y24" i="11"/>
  <c r="Y28" i="11"/>
  <c r="Y32" i="11"/>
  <c r="Y36" i="11"/>
  <c r="Y40" i="11"/>
  <c r="Y44" i="11"/>
  <c r="Y48" i="11"/>
  <c r="Y9" i="11"/>
  <c r="Y13" i="11"/>
  <c r="Y17" i="11"/>
  <c r="Y21" i="11"/>
  <c r="Y25" i="11"/>
  <c r="Y29" i="11"/>
  <c r="Y33" i="11"/>
  <c r="Y37" i="11"/>
  <c r="Y41" i="11"/>
  <c r="Y45" i="11"/>
  <c r="Y49" i="11"/>
  <c r="Y3" i="11"/>
  <c r="Y4" i="11"/>
  <c r="Y5" i="11"/>
  <c r="Y49" i="6"/>
  <c r="Y50" i="6"/>
  <c r="Y48" i="6"/>
  <c r="Y51" i="6"/>
  <c r="AN50" i="6" l="1"/>
  <c r="AM50" i="6"/>
  <c r="AL50" i="6"/>
  <c r="AN49" i="6"/>
  <c r="AM49" i="6"/>
  <c r="AL49" i="6"/>
  <c r="AL51" i="6"/>
  <c r="AM51" i="6"/>
  <c r="AL48" i="6"/>
  <c r="AM48" i="6"/>
  <c r="Z51" i="6"/>
  <c r="Z50" i="6"/>
  <c r="Z49" i="6"/>
  <c r="Z48" i="6"/>
  <c r="G18" i="2"/>
  <c r="C48" i="1" l="1"/>
  <c r="AD48" i="6"/>
  <c r="E48" i="1" s="1"/>
  <c r="AC48" i="6"/>
  <c r="AA48" i="6"/>
  <c r="AB48" i="6"/>
  <c r="AC49" i="6"/>
  <c r="AB49" i="6"/>
  <c r="AD49" i="6"/>
  <c r="E49" i="1" s="1"/>
  <c r="AA49" i="6"/>
  <c r="C49" i="1"/>
  <c r="C50" i="1"/>
  <c r="AB50" i="6"/>
  <c r="AD50" i="6"/>
  <c r="E50" i="1" s="1"/>
  <c r="AA50" i="6"/>
  <c r="AC50" i="6"/>
  <c r="AB51" i="6"/>
  <c r="AA51" i="6"/>
  <c r="AD51" i="6"/>
  <c r="AC51" i="6"/>
  <c r="AE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34" i="6"/>
  <c r="AE35" i="6"/>
  <c r="AE36" i="6"/>
  <c r="AE37" i="6"/>
  <c r="AE38" i="6"/>
  <c r="AE39" i="6"/>
  <c r="AE40" i="6"/>
  <c r="AE41" i="6"/>
  <c r="AE42" i="6"/>
  <c r="AE43" i="6"/>
  <c r="AE44" i="6"/>
  <c r="AE45" i="6"/>
  <c r="AE46" i="6"/>
  <c r="AE47" i="6"/>
  <c r="B2" i="1"/>
  <c r="H29" i="3"/>
  <c r="H22" i="3"/>
  <c r="Y2" i="6"/>
  <c r="Y3" i="6"/>
  <c r="Y4" i="6"/>
  <c r="Y27" i="6"/>
  <c r="Y46" i="6"/>
  <c r="Y31" i="6"/>
  <c r="Y13" i="6"/>
  <c r="Y39" i="6"/>
  <c r="Y8" i="6"/>
  <c r="Y16" i="6"/>
  <c r="Y45" i="6"/>
  <c r="Y5" i="6"/>
  <c r="Y32" i="6"/>
  <c r="Y12" i="6"/>
  <c r="Y40" i="6"/>
  <c r="Y37" i="6"/>
  <c r="Y33" i="6"/>
  <c r="Y26" i="6"/>
  <c r="Y38" i="6"/>
  <c r="Y29" i="6"/>
  <c r="Y21" i="6"/>
  <c r="Y25" i="6"/>
  <c r="Y11" i="6"/>
  <c r="Y24" i="6"/>
  <c r="Y7" i="6"/>
  <c r="Y9" i="6"/>
  <c r="Y22" i="6"/>
  <c r="Y44" i="6"/>
  <c r="Y34" i="6"/>
  <c r="Y28" i="6"/>
  <c r="Y36" i="6"/>
  <c r="Y30" i="6"/>
  <c r="Y17" i="6"/>
  <c r="Y35" i="6"/>
  <c r="Y47" i="6"/>
  <c r="Y20" i="6"/>
  <c r="Y19" i="6"/>
  <c r="Y10" i="6"/>
  <c r="Y6" i="6"/>
  <c r="Y43" i="6"/>
  <c r="Y15" i="6"/>
  <c r="Y42" i="6"/>
  <c r="Y18" i="6"/>
  <c r="Y23" i="6"/>
  <c r="Y14" i="6"/>
  <c r="Y41" i="6"/>
  <c r="AX51" i="6" l="1"/>
  <c r="AV51" i="6"/>
  <c r="AW51" i="6"/>
  <c r="AG49" i="6"/>
  <c r="AI49" i="6" s="1"/>
  <c r="AH49" i="6" s="1"/>
  <c r="AO49" i="6" s="1"/>
  <c r="AP49" i="6" s="1"/>
  <c r="AQ49" i="6" s="1"/>
  <c r="H49" i="1" s="1"/>
  <c r="AF49" i="6"/>
  <c r="G49" i="1" s="1"/>
  <c r="D49" i="1"/>
  <c r="AV48" i="6"/>
  <c r="AW48" i="6"/>
  <c r="AX48" i="6"/>
  <c r="AF51" i="6"/>
  <c r="AG51" i="6"/>
  <c r="AG50" i="6"/>
  <c r="AF50" i="6"/>
  <c r="G50" i="1" s="1"/>
  <c r="AW49" i="6"/>
  <c r="AX49" i="6"/>
  <c r="AV49" i="6"/>
  <c r="D48" i="1"/>
  <c r="AX50" i="6"/>
  <c r="AW50" i="6"/>
  <c r="AV50" i="6"/>
  <c r="D50" i="1"/>
  <c r="AG48" i="6"/>
  <c r="AF48" i="6"/>
  <c r="G48" i="1" s="1"/>
  <c r="L51" i="1"/>
  <c r="G8" i="2" s="1"/>
  <c r="F51" i="1"/>
  <c r="H14" i="2" s="1"/>
  <c r="I51" i="1"/>
  <c r="G5" i="2" s="1"/>
  <c r="H6" i="2" s="1"/>
  <c r="J51" i="1"/>
  <c r="H16" i="2" s="1"/>
  <c r="H21" i="3"/>
  <c r="AU2" i="6"/>
  <c r="AU3" i="6"/>
  <c r="AU4" i="6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J2" i="6"/>
  <c r="AK2" i="6" s="1"/>
  <c r="AN2" i="6" s="1"/>
  <c r="AJ3" i="6"/>
  <c r="AK3" i="6" s="1"/>
  <c r="AJ4" i="6"/>
  <c r="AK4" i="6" s="1"/>
  <c r="AJ5" i="6"/>
  <c r="AK5" i="6" s="1"/>
  <c r="AN5" i="6" s="1"/>
  <c r="AJ6" i="6"/>
  <c r="AK6" i="6" s="1"/>
  <c r="AN6" i="6" s="1"/>
  <c r="AJ7" i="6"/>
  <c r="AK7" i="6" s="1"/>
  <c r="AJ8" i="6"/>
  <c r="AK8" i="6" s="1"/>
  <c r="AJ9" i="6"/>
  <c r="AK9" i="6" s="1"/>
  <c r="AN9" i="6" s="1"/>
  <c r="AJ10" i="6"/>
  <c r="AK10" i="6" s="1"/>
  <c r="AN10" i="6" s="1"/>
  <c r="AJ11" i="6"/>
  <c r="AK11" i="6" s="1"/>
  <c r="AJ12" i="6"/>
  <c r="AK12" i="6" s="1"/>
  <c r="AJ13" i="6"/>
  <c r="AK13" i="6" s="1"/>
  <c r="AN13" i="6" s="1"/>
  <c r="AJ14" i="6"/>
  <c r="AK14" i="6" s="1"/>
  <c r="AN14" i="6" s="1"/>
  <c r="AJ15" i="6"/>
  <c r="AK15" i="6" s="1"/>
  <c r="AJ16" i="6"/>
  <c r="AK16" i="6" s="1"/>
  <c r="AJ17" i="6"/>
  <c r="AK17" i="6" s="1"/>
  <c r="AN17" i="6" s="1"/>
  <c r="AJ18" i="6"/>
  <c r="AK18" i="6" s="1"/>
  <c r="AN18" i="6" s="1"/>
  <c r="AJ19" i="6"/>
  <c r="AK19" i="6" s="1"/>
  <c r="AJ20" i="6"/>
  <c r="AK20" i="6" s="1"/>
  <c r="AJ21" i="6"/>
  <c r="AK21" i="6" s="1"/>
  <c r="AN21" i="6" s="1"/>
  <c r="AJ22" i="6"/>
  <c r="AK22" i="6" s="1"/>
  <c r="AN22" i="6" s="1"/>
  <c r="AJ23" i="6"/>
  <c r="AK23" i="6" s="1"/>
  <c r="AJ24" i="6"/>
  <c r="AK24" i="6" s="1"/>
  <c r="AJ25" i="6"/>
  <c r="AK25" i="6" s="1"/>
  <c r="AN25" i="6" s="1"/>
  <c r="AJ26" i="6"/>
  <c r="AK26" i="6" s="1"/>
  <c r="AN26" i="6" s="1"/>
  <c r="AJ27" i="6"/>
  <c r="AK27" i="6" s="1"/>
  <c r="AJ28" i="6"/>
  <c r="AK28" i="6" s="1"/>
  <c r="AJ29" i="6"/>
  <c r="AK29" i="6" s="1"/>
  <c r="AN29" i="6" s="1"/>
  <c r="AJ30" i="6"/>
  <c r="AK30" i="6" s="1"/>
  <c r="AN30" i="6" s="1"/>
  <c r="AJ31" i="6"/>
  <c r="AK31" i="6" s="1"/>
  <c r="AJ32" i="6"/>
  <c r="AK32" i="6" s="1"/>
  <c r="AJ33" i="6"/>
  <c r="AK33" i="6" s="1"/>
  <c r="AN33" i="6" s="1"/>
  <c r="AJ34" i="6"/>
  <c r="AK34" i="6" s="1"/>
  <c r="AN34" i="6" s="1"/>
  <c r="AJ35" i="6"/>
  <c r="AK35" i="6" s="1"/>
  <c r="AJ36" i="6"/>
  <c r="AK36" i="6" s="1"/>
  <c r="AJ37" i="6"/>
  <c r="AK37" i="6" s="1"/>
  <c r="AN37" i="6" s="1"/>
  <c r="AJ38" i="6"/>
  <c r="AK38" i="6" s="1"/>
  <c r="AN38" i="6" s="1"/>
  <c r="AJ39" i="6"/>
  <c r="AK39" i="6" s="1"/>
  <c r="AJ40" i="6"/>
  <c r="AK40" i="6" s="1"/>
  <c r="AJ41" i="6"/>
  <c r="AK41" i="6" s="1"/>
  <c r="AN41" i="6" s="1"/>
  <c r="AJ42" i="6"/>
  <c r="AK42" i="6" s="1"/>
  <c r="AN42" i="6" s="1"/>
  <c r="AJ43" i="6"/>
  <c r="AK43" i="6" s="1"/>
  <c r="AJ44" i="6"/>
  <c r="AK44" i="6" s="1"/>
  <c r="AJ45" i="6"/>
  <c r="AK45" i="6" s="1"/>
  <c r="AN45" i="6" s="1"/>
  <c r="AJ46" i="6"/>
  <c r="AK46" i="6" s="1"/>
  <c r="AN46" i="6" s="1"/>
  <c r="AK47" i="6"/>
  <c r="X2" i="6"/>
  <c r="Z2" i="6" s="1"/>
  <c r="X3" i="6"/>
  <c r="Z3" i="6" s="1"/>
  <c r="C3" i="1" s="1"/>
  <c r="X4" i="6"/>
  <c r="Z4" i="6" s="1"/>
  <c r="C4" i="1" s="1"/>
  <c r="X5" i="6"/>
  <c r="Z5" i="6" s="1"/>
  <c r="C5" i="1" s="1"/>
  <c r="X6" i="6"/>
  <c r="Z6" i="6" s="1"/>
  <c r="C6" i="1" s="1"/>
  <c r="X7" i="6"/>
  <c r="Z7" i="6" s="1"/>
  <c r="X8" i="6"/>
  <c r="Z8" i="6" s="1"/>
  <c r="C8" i="1" s="1"/>
  <c r="X9" i="6"/>
  <c r="Z9" i="6" s="1"/>
  <c r="C9" i="1" s="1"/>
  <c r="X10" i="6"/>
  <c r="Z10" i="6" s="1"/>
  <c r="C10" i="1" s="1"/>
  <c r="X11" i="6"/>
  <c r="Z11" i="6" s="1"/>
  <c r="X12" i="6"/>
  <c r="Z12" i="6" s="1"/>
  <c r="C12" i="1" s="1"/>
  <c r="X13" i="6"/>
  <c r="Z13" i="6" s="1"/>
  <c r="C13" i="1" s="1"/>
  <c r="X14" i="6"/>
  <c r="Z14" i="6" s="1"/>
  <c r="C14" i="1" s="1"/>
  <c r="X15" i="6"/>
  <c r="Z15" i="6" s="1"/>
  <c r="X16" i="6"/>
  <c r="Z16" i="6" s="1"/>
  <c r="C16" i="1" s="1"/>
  <c r="X17" i="6"/>
  <c r="Z17" i="6" s="1"/>
  <c r="C17" i="1" s="1"/>
  <c r="X18" i="6"/>
  <c r="Z18" i="6" s="1"/>
  <c r="C18" i="1" s="1"/>
  <c r="X19" i="6"/>
  <c r="Z19" i="6" s="1"/>
  <c r="X20" i="6"/>
  <c r="Z20" i="6" s="1"/>
  <c r="C20" i="1" s="1"/>
  <c r="X21" i="6"/>
  <c r="Z21" i="6" s="1"/>
  <c r="C21" i="1" s="1"/>
  <c r="X22" i="6"/>
  <c r="Z22" i="6" s="1"/>
  <c r="C22" i="1" s="1"/>
  <c r="X23" i="6"/>
  <c r="Z23" i="6" s="1"/>
  <c r="X24" i="6"/>
  <c r="Z24" i="6" s="1"/>
  <c r="C24" i="1" s="1"/>
  <c r="X25" i="6"/>
  <c r="Z25" i="6" s="1"/>
  <c r="C25" i="1" s="1"/>
  <c r="X26" i="6"/>
  <c r="Z26" i="6" s="1"/>
  <c r="C26" i="1" s="1"/>
  <c r="X27" i="6"/>
  <c r="Z27" i="6" s="1"/>
  <c r="X28" i="6"/>
  <c r="Z28" i="6" s="1"/>
  <c r="C28" i="1" s="1"/>
  <c r="X29" i="6"/>
  <c r="Z29" i="6" s="1"/>
  <c r="C29" i="1" s="1"/>
  <c r="X30" i="6"/>
  <c r="Z30" i="6" s="1"/>
  <c r="C30" i="1" s="1"/>
  <c r="X31" i="6"/>
  <c r="Z31" i="6" s="1"/>
  <c r="X32" i="6"/>
  <c r="Z32" i="6" s="1"/>
  <c r="C32" i="1" s="1"/>
  <c r="X33" i="6"/>
  <c r="Z33" i="6" s="1"/>
  <c r="C33" i="1" s="1"/>
  <c r="X34" i="6"/>
  <c r="Z34" i="6" s="1"/>
  <c r="C34" i="1" s="1"/>
  <c r="X35" i="6"/>
  <c r="Z35" i="6" s="1"/>
  <c r="X36" i="6"/>
  <c r="Z36" i="6" s="1"/>
  <c r="C36" i="1" s="1"/>
  <c r="X37" i="6"/>
  <c r="Z37" i="6" s="1"/>
  <c r="C37" i="1" s="1"/>
  <c r="X38" i="6"/>
  <c r="Z38" i="6" s="1"/>
  <c r="C38" i="1" s="1"/>
  <c r="X39" i="6"/>
  <c r="Z39" i="6" s="1"/>
  <c r="X40" i="6"/>
  <c r="Z40" i="6" s="1"/>
  <c r="C40" i="1" s="1"/>
  <c r="X41" i="6"/>
  <c r="Z41" i="6" s="1"/>
  <c r="C41" i="1" s="1"/>
  <c r="X42" i="6"/>
  <c r="Z42" i="6" s="1"/>
  <c r="C42" i="1" s="1"/>
  <c r="X43" i="6"/>
  <c r="Z43" i="6" s="1"/>
  <c r="C43" i="1" s="1"/>
  <c r="X44" i="6"/>
  <c r="Z44" i="6" s="1"/>
  <c r="C44" i="1" s="1"/>
  <c r="X45" i="6"/>
  <c r="Z45" i="6" s="1"/>
  <c r="C45" i="1" s="1"/>
  <c r="X46" i="6"/>
  <c r="Z46" i="6" s="1"/>
  <c r="C46" i="1" s="1"/>
  <c r="X47" i="6"/>
  <c r="Z47" i="6" s="1"/>
  <c r="C47" i="1" s="1"/>
  <c r="AR49" i="6" l="1"/>
  <c r="AI51" i="6"/>
  <c r="AH51" i="6" s="1"/>
  <c r="AO51" i="6" s="1"/>
  <c r="AP51" i="6" s="1"/>
  <c r="AQ51" i="6" s="1"/>
  <c r="AR51" i="6" s="1"/>
  <c r="AS51" i="6" s="1"/>
  <c r="AT51" i="6" s="1"/>
  <c r="AI50" i="6"/>
  <c r="AH50" i="6" s="1"/>
  <c r="AO50" i="6" s="1"/>
  <c r="AP50" i="6" s="1"/>
  <c r="AQ50" i="6" s="1"/>
  <c r="K49" i="1"/>
  <c r="AS49" i="6"/>
  <c r="AC39" i="6"/>
  <c r="D39" i="1" s="1"/>
  <c r="C39" i="1"/>
  <c r="AA35" i="6"/>
  <c r="AF35" i="6" s="1"/>
  <c r="G35" i="1" s="1"/>
  <c r="C35" i="1"/>
  <c r="AA31" i="6"/>
  <c r="AF31" i="6" s="1"/>
  <c r="G31" i="1" s="1"/>
  <c r="C31" i="1"/>
  <c r="AA27" i="6"/>
  <c r="AF27" i="6" s="1"/>
  <c r="G27" i="1" s="1"/>
  <c r="C27" i="1"/>
  <c r="AC23" i="6"/>
  <c r="D23" i="1" s="1"/>
  <c r="C23" i="1"/>
  <c r="AA19" i="6"/>
  <c r="AF19" i="6" s="1"/>
  <c r="G19" i="1" s="1"/>
  <c r="C19" i="1"/>
  <c r="AA15" i="6"/>
  <c r="AF15" i="6" s="1"/>
  <c r="G15" i="1" s="1"/>
  <c r="C15" i="1"/>
  <c r="AA11" i="6"/>
  <c r="AF11" i="6" s="1"/>
  <c r="G11" i="1" s="1"/>
  <c r="C11" i="1"/>
  <c r="AC7" i="6"/>
  <c r="D7" i="1" s="1"/>
  <c r="C7" i="1"/>
  <c r="AI48" i="6"/>
  <c r="AH48" i="6" s="1"/>
  <c r="AO48" i="6" s="1"/>
  <c r="AP48" i="6" s="1"/>
  <c r="AQ48" i="6" s="1"/>
  <c r="AM47" i="6"/>
  <c r="AN47" i="6"/>
  <c r="AL47" i="6"/>
  <c r="AM43" i="6"/>
  <c r="AN43" i="6"/>
  <c r="AL43" i="6"/>
  <c r="AM35" i="6"/>
  <c r="AN35" i="6"/>
  <c r="AL35" i="6"/>
  <c r="AM31" i="6"/>
  <c r="AN31" i="6"/>
  <c r="AL31" i="6"/>
  <c r="AM27" i="6"/>
  <c r="AN27" i="6"/>
  <c r="AL27" i="6"/>
  <c r="AM19" i="6"/>
  <c r="AN19" i="6"/>
  <c r="AL19" i="6"/>
  <c r="AM15" i="6"/>
  <c r="AN15" i="6"/>
  <c r="AL15" i="6"/>
  <c r="AM11" i="6"/>
  <c r="AN11" i="6"/>
  <c r="AL11" i="6"/>
  <c r="AM7" i="6"/>
  <c r="AN7" i="6"/>
  <c r="AL7" i="6"/>
  <c r="AM3" i="6"/>
  <c r="AN3" i="6"/>
  <c r="AL3" i="6"/>
  <c r="AM39" i="6"/>
  <c r="AN39" i="6"/>
  <c r="AL39" i="6"/>
  <c r="AM23" i="6"/>
  <c r="AN23" i="6"/>
  <c r="AL23" i="6"/>
  <c r="AM44" i="6"/>
  <c r="AN44" i="6"/>
  <c r="AL44" i="6"/>
  <c r="AM40" i="6"/>
  <c r="AN40" i="6"/>
  <c r="AL40" i="6"/>
  <c r="AM36" i="6"/>
  <c r="AN36" i="6"/>
  <c r="AL36" i="6"/>
  <c r="AM32" i="6"/>
  <c r="AN32" i="6"/>
  <c r="AL32" i="6"/>
  <c r="AM28" i="6"/>
  <c r="AN28" i="6"/>
  <c r="AL28" i="6"/>
  <c r="AM24" i="6"/>
  <c r="AN24" i="6"/>
  <c r="AL24" i="6"/>
  <c r="AM20" i="6"/>
  <c r="AN20" i="6"/>
  <c r="AL20" i="6"/>
  <c r="AM16" i="6"/>
  <c r="AN16" i="6"/>
  <c r="AL16" i="6"/>
  <c r="AM12" i="6"/>
  <c r="AN12" i="6"/>
  <c r="AL12" i="6"/>
  <c r="AM8" i="6"/>
  <c r="AN8" i="6"/>
  <c r="AL8" i="6"/>
  <c r="AM4" i="6"/>
  <c r="AN4" i="6"/>
  <c r="AL4" i="6"/>
  <c r="AM46" i="6"/>
  <c r="AM42" i="6"/>
  <c r="AM38" i="6"/>
  <c r="AM34" i="6"/>
  <c r="AM30" i="6"/>
  <c r="AM26" i="6"/>
  <c r="AM22" i="6"/>
  <c r="AM18" i="6"/>
  <c r="AM14" i="6"/>
  <c r="AM10" i="6"/>
  <c r="AM6" i="6"/>
  <c r="AM2" i="6"/>
  <c r="AM45" i="6"/>
  <c r="AM41" i="6"/>
  <c r="AM37" i="6"/>
  <c r="AM33" i="6"/>
  <c r="AM29" i="6"/>
  <c r="AM25" i="6"/>
  <c r="AM21" i="6"/>
  <c r="AM17" i="6"/>
  <c r="AM13" i="6"/>
  <c r="AM9" i="6"/>
  <c r="AM5" i="6"/>
  <c r="AL46" i="6"/>
  <c r="AL42" i="6"/>
  <c r="AL38" i="6"/>
  <c r="AL34" i="6"/>
  <c r="AL30" i="6"/>
  <c r="AL26" i="6"/>
  <c r="AL22" i="6"/>
  <c r="AL18" i="6"/>
  <c r="AL14" i="6"/>
  <c r="AL10" i="6"/>
  <c r="AL6" i="6"/>
  <c r="AL2" i="6"/>
  <c r="H11" i="2"/>
  <c r="AL45" i="6"/>
  <c r="AL41" i="6"/>
  <c r="AL37" i="6"/>
  <c r="AL33" i="6"/>
  <c r="AL29" i="6"/>
  <c r="AL25" i="6"/>
  <c r="AL21" i="6"/>
  <c r="AL17" i="6"/>
  <c r="AL13" i="6"/>
  <c r="AL9" i="6"/>
  <c r="AL5" i="6"/>
  <c r="AA23" i="6"/>
  <c r="AF23" i="6" s="1"/>
  <c r="G23" i="1" s="1"/>
  <c r="AD46" i="6"/>
  <c r="E46" i="1" s="1"/>
  <c r="AD44" i="6"/>
  <c r="E44" i="1" s="1"/>
  <c r="AD42" i="6"/>
  <c r="E42" i="1" s="1"/>
  <c r="AD40" i="6"/>
  <c r="E40" i="1" s="1"/>
  <c r="AD38" i="6"/>
  <c r="E38" i="1" s="1"/>
  <c r="AD36" i="6"/>
  <c r="E36" i="1" s="1"/>
  <c r="AD34" i="6"/>
  <c r="E34" i="1" s="1"/>
  <c r="AB32" i="6"/>
  <c r="AD32" i="6"/>
  <c r="E32" i="1" s="1"/>
  <c r="AD30" i="6"/>
  <c r="E30" i="1" s="1"/>
  <c r="AD28" i="6"/>
  <c r="E28" i="1" s="1"/>
  <c r="AD26" i="6"/>
  <c r="E26" i="1" s="1"/>
  <c r="AD24" i="6"/>
  <c r="E24" i="1" s="1"/>
  <c r="AD22" i="6"/>
  <c r="E22" i="1" s="1"/>
  <c r="AD20" i="6"/>
  <c r="E20" i="1" s="1"/>
  <c r="AD18" i="6"/>
  <c r="E18" i="1" s="1"/>
  <c r="AD16" i="6"/>
  <c r="E16" i="1" s="1"/>
  <c r="AD14" i="6"/>
  <c r="E14" i="1" s="1"/>
  <c r="AD12" i="6"/>
  <c r="E12" i="1" s="1"/>
  <c r="AD10" i="6"/>
  <c r="E10" i="1" s="1"/>
  <c r="AD8" i="6"/>
  <c r="E8" i="1" s="1"/>
  <c r="AD6" i="6"/>
  <c r="E6" i="1" s="1"/>
  <c r="AD4" i="6"/>
  <c r="E4" i="1" s="1"/>
  <c r="C2" i="1"/>
  <c r="AD2" i="6"/>
  <c r="E2" i="1" s="1"/>
  <c r="AA46" i="6"/>
  <c r="AF46" i="6" s="1"/>
  <c r="G46" i="1" s="1"/>
  <c r="AA42" i="6"/>
  <c r="AF42" i="6" s="1"/>
  <c r="G42" i="1" s="1"/>
  <c r="AA6" i="6"/>
  <c r="AF6" i="6" s="1"/>
  <c r="G6" i="1" s="1"/>
  <c r="AA2" i="6"/>
  <c r="AF2" i="6" s="1"/>
  <c r="G2" i="1" s="1"/>
  <c r="AC46" i="6"/>
  <c r="D46" i="1" s="1"/>
  <c r="AC34" i="6"/>
  <c r="D34" i="1" s="1"/>
  <c r="AC30" i="6"/>
  <c r="D30" i="1" s="1"/>
  <c r="AC18" i="6"/>
  <c r="D18" i="1" s="1"/>
  <c r="AC14" i="6"/>
  <c r="D14" i="1" s="1"/>
  <c r="AC2" i="6"/>
  <c r="D2" i="1" s="1"/>
  <c r="AD47" i="6"/>
  <c r="E47" i="1" s="1"/>
  <c r="AD45" i="6"/>
  <c r="E45" i="1" s="1"/>
  <c r="AD43" i="6"/>
  <c r="E43" i="1" s="1"/>
  <c r="AD41" i="6"/>
  <c r="E41" i="1" s="1"/>
  <c r="AD39" i="6"/>
  <c r="E39" i="1" s="1"/>
  <c r="AB37" i="6"/>
  <c r="AX37" i="6" s="1"/>
  <c r="AD37" i="6"/>
  <c r="E37" i="1" s="1"/>
  <c r="AD35" i="6"/>
  <c r="E35" i="1" s="1"/>
  <c r="AD33" i="6"/>
  <c r="E33" i="1" s="1"/>
  <c r="AD31" i="6"/>
  <c r="E31" i="1" s="1"/>
  <c r="AD29" i="6"/>
  <c r="E29" i="1" s="1"/>
  <c r="AD27" i="6"/>
  <c r="E27" i="1" s="1"/>
  <c r="AD25" i="6"/>
  <c r="E25" i="1" s="1"/>
  <c r="AD23" i="6"/>
  <c r="E23" i="1" s="1"/>
  <c r="AD21" i="6"/>
  <c r="E21" i="1" s="1"/>
  <c r="AD19" i="6"/>
  <c r="E19" i="1" s="1"/>
  <c r="AD17" i="6"/>
  <c r="E17" i="1" s="1"/>
  <c r="AD15" i="6"/>
  <c r="E15" i="1" s="1"/>
  <c r="AD13" i="6"/>
  <c r="E13" i="1" s="1"/>
  <c r="AD11" i="6"/>
  <c r="E11" i="1" s="1"/>
  <c r="AD9" i="6"/>
  <c r="E9" i="1" s="1"/>
  <c r="AD7" i="6"/>
  <c r="E7" i="1" s="1"/>
  <c r="AD5" i="6"/>
  <c r="E5" i="1" s="1"/>
  <c r="AD3" i="6"/>
  <c r="E3" i="1" s="1"/>
  <c r="AA47" i="6"/>
  <c r="AF47" i="6" s="1"/>
  <c r="G47" i="1" s="1"/>
  <c r="AA43" i="6"/>
  <c r="AA38" i="6"/>
  <c r="AF38" i="6" s="1"/>
  <c r="G38" i="1" s="1"/>
  <c r="AA34" i="6"/>
  <c r="AA30" i="6"/>
  <c r="AF30" i="6" s="1"/>
  <c r="G30" i="1" s="1"/>
  <c r="AA26" i="6"/>
  <c r="AF26" i="6" s="1"/>
  <c r="G26" i="1" s="1"/>
  <c r="AA22" i="6"/>
  <c r="AF22" i="6" s="1"/>
  <c r="G22" i="1" s="1"/>
  <c r="AA18" i="6"/>
  <c r="AF18" i="6" s="1"/>
  <c r="G18" i="1" s="1"/>
  <c r="AA14" i="6"/>
  <c r="AF14" i="6" s="1"/>
  <c r="G14" i="1" s="1"/>
  <c r="AA10" i="6"/>
  <c r="AF10" i="6" s="1"/>
  <c r="G10" i="1" s="1"/>
  <c r="AA3" i="6"/>
  <c r="AF3" i="6" s="1"/>
  <c r="G3" i="1" s="1"/>
  <c r="AC47" i="6"/>
  <c r="D47" i="1" s="1"/>
  <c r="AC42" i="6"/>
  <c r="D42" i="1" s="1"/>
  <c r="AC38" i="6"/>
  <c r="D38" i="1" s="1"/>
  <c r="AC31" i="6"/>
  <c r="D31" i="1" s="1"/>
  <c r="AC26" i="6"/>
  <c r="D26" i="1" s="1"/>
  <c r="AC22" i="6"/>
  <c r="D22" i="1" s="1"/>
  <c r="AC15" i="6"/>
  <c r="D15" i="1" s="1"/>
  <c r="AC10" i="6"/>
  <c r="D10" i="1" s="1"/>
  <c r="AC6" i="6"/>
  <c r="D6" i="1" s="1"/>
  <c r="AC41" i="6"/>
  <c r="D41" i="1" s="1"/>
  <c r="AC33" i="6"/>
  <c r="D33" i="1" s="1"/>
  <c r="AC21" i="6"/>
  <c r="D21" i="1" s="1"/>
  <c r="AA21" i="6"/>
  <c r="AC13" i="6"/>
  <c r="D13" i="1" s="1"/>
  <c r="AA37" i="6"/>
  <c r="AB25" i="6"/>
  <c r="AB9" i="6"/>
  <c r="AC40" i="6"/>
  <c r="D40" i="1" s="1"/>
  <c r="AA40" i="6"/>
  <c r="AC28" i="6"/>
  <c r="D28" i="1" s="1"/>
  <c r="AA28" i="6"/>
  <c r="AC20" i="6"/>
  <c r="D20" i="1" s="1"/>
  <c r="AA20" i="6"/>
  <c r="AC12" i="6"/>
  <c r="D12" i="1" s="1"/>
  <c r="AA12" i="6"/>
  <c r="AC4" i="6"/>
  <c r="D4" i="1" s="1"/>
  <c r="AA4" i="6"/>
  <c r="AC45" i="6"/>
  <c r="D45" i="1" s="1"/>
  <c r="AC29" i="6"/>
  <c r="D29" i="1" s="1"/>
  <c r="AC17" i="6"/>
  <c r="D17" i="1" s="1"/>
  <c r="AA17" i="6"/>
  <c r="AC5" i="6"/>
  <c r="D5" i="1" s="1"/>
  <c r="AA5" i="6"/>
  <c r="AB41" i="6"/>
  <c r="AB17" i="6"/>
  <c r="AC44" i="6"/>
  <c r="D44" i="1" s="1"/>
  <c r="AA44" i="6"/>
  <c r="AC36" i="6"/>
  <c r="D36" i="1" s="1"/>
  <c r="AA36" i="6"/>
  <c r="AC32" i="6"/>
  <c r="D32" i="1" s="1"/>
  <c r="AA32" i="6"/>
  <c r="AC24" i="6"/>
  <c r="D24" i="1" s="1"/>
  <c r="AA24" i="6"/>
  <c r="AC16" i="6"/>
  <c r="D16" i="1" s="1"/>
  <c r="AA16" i="6"/>
  <c r="AC8" i="6"/>
  <c r="D8" i="1" s="1"/>
  <c r="AA8" i="6"/>
  <c r="AB40" i="6"/>
  <c r="AB47" i="6"/>
  <c r="AB43" i="6"/>
  <c r="AB39" i="6"/>
  <c r="AB35" i="6"/>
  <c r="AB31" i="6"/>
  <c r="AB27" i="6"/>
  <c r="AB23" i="6"/>
  <c r="AB19" i="6"/>
  <c r="AB15" i="6"/>
  <c r="AB11" i="6"/>
  <c r="AB7" i="6"/>
  <c r="AB3" i="6"/>
  <c r="AA45" i="6"/>
  <c r="AA39" i="6"/>
  <c r="AA29" i="6"/>
  <c r="AA7" i="6"/>
  <c r="AB45" i="6"/>
  <c r="AB29" i="6"/>
  <c r="AB21" i="6"/>
  <c r="AB13" i="6"/>
  <c r="AB5" i="6"/>
  <c r="AC43" i="6"/>
  <c r="D43" i="1" s="1"/>
  <c r="AC35" i="6"/>
  <c r="D35" i="1" s="1"/>
  <c r="AC27" i="6"/>
  <c r="D27" i="1" s="1"/>
  <c r="AC19" i="6"/>
  <c r="D19" i="1" s="1"/>
  <c r="AC11" i="6"/>
  <c r="D11" i="1" s="1"/>
  <c r="AC3" i="6"/>
  <c r="D3" i="1" s="1"/>
  <c r="AG31" i="6"/>
  <c r="AG23" i="6"/>
  <c r="AG15" i="6"/>
  <c r="AC37" i="6"/>
  <c r="D37" i="1" s="1"/>
  <c r="AC25" i="6"/>
  <c r="D25" i="1" s="1"/>
  <c r="AA25" i="6"/>
  <c r="AC9" i="6"/>
  <c r="D9" i="1" s="1"/>
  <c r="AA9" i="6"/>
  <c r="AB33" i="6"/>
  <c r="AA41" i="6"/>
  <c r="AB24" i="6"/>
  <c r="AB16" i="6"/>
  <c r="AB8" i="6"/>
  <c r="AG26" i="6"/>
  <c r="AA33" i="6"/>
  <c r="AA13" i="6"/>
  <c r="AB44" i="6"/>
  <c r="AB36" i="6"/>
  <c r="AB28" i="6"/>
  <c r="AB20" i="6"/>
  <c r="AB12" i="6"/>
  <c r="AB4" i="6"/>
  <c r="AB46" i="6"/>
  <c r="AB42" i="6"/>
  <c r="AB38" i="6"/>
  <c r="AB34" i="6"/>
  <c r="AB30" i="6"/>
  <c r="AB26" i="6"/>
  <c r="AB22" i="6"/>
  <c r="AB18" i="6"/>
  <c r="AB14" i="6"/>
  <c r="AB10" i="6"/>
  <c r="AB6" i="6"/>
  <c r="AB2" i="6"/>
  <c r="H12" i="3"/>
  <c r="AG11" i="6" l="1"/>
  <c r="AG19" i="6"/>
  <c r="AI19" i="6" s="1"/>
  <c r="AH19" i="6" s="1"/>
  <c r="AO19" i="6" s="1"/>
  <c r="AP19" i="6" s="1"/>
  <c r="AQ19" i="6" s="1"/>
  <c r="H19" i="1" s="1"/>
  <c r="AG35" i="6"/>
  <c r="AI35" i="6" s="1"/>
  <c r="AH35" i="6" s="1"/>
  <c r="AO35" i="6" s="1"/>
  <c r="AP35" i="6" s="1"/>
  <c r="AQ35" i="6" s="1"/>
  <c r="H35" i="1" s="1"/>
  <c r="H48" i="1"/>
  <c r="AR48" i="6"/>
  <c r="H50" i="1"/>
  <c r="AR50" i="6"/>
  <c r="M49" i="1"/>
  <c r="AT49" i="6"/>
  <c r="AG27" i="6"/>
  <c r="AI27" i="6" s="1"/>
  <c r="AH27" i="6" s="1"/>
  <c r="AO27" i="6" s="1"/>
  <c r="AP27" i="6" s="1"/>
  <c r="AQ27" i="6" s="1"/>
  <c r="H27" i="1" s="1"/>
  <c r="AG3" i="6"/>
  <c r="AG14" i="6"/>
  <c r="AI14" i="6" s="1"/>
  <c r="AH14" i="6" s="1"/>
  <c r="AO14" i="6" s="1"/>
  <c r="AP14" i="6" s="1"/>
  <c r="AV37" i="6"/>
  <c r="AV32" i="6"/>
  <c r="AG30" i="6"/>
  <c r="AI30" i="6" s="1"/>
  <c r="AH30" i="6" s="1"/>
  <c r="AO30" i="6" s="1"/>
  <c r="AP30" i="6" s="1"/>
  <c r="AG47" i="6"/>
  <c r="AI47" i="6" s="1"/>
  <c r="AH47" i="6" s="1"/>
  <c r="AO47" i="6" s="1"/>
  <c r="AP47" i="6" s="1"/>
  <c r="AX32" i="6"/>
  <c r="AG22" i="6"/>
  <c r="AG38" i="6"/>
  <c r="AI38" i="6" s="1"/>
  <c r="AH38" i="6" s="1"/>
  <c r="AO38" i="6" s="1"/>
  <c r="AP38" i="6" s="1"/>
  <c r="AQ38" i="6" s="1"/>
  <c r="H38" i="1" s="1"/>
  <c r="AG42" i="6"/>
  <c r="AI42" i="6" s="1"/>
  <c r="AH42" i="6" s="1"/>
  <c r="AO42" i="6" s="1"/>
  <c r="AP42" i="6" s="1"/>
  <c r="AG2" i="6"/>
  <c r="AW32" i="6"/>
  <c r="AG6" i="6"/>
  <c r="AI6" i="6" s="1"/>
  <c r="AH6" i="6" s="1"/>
  <c r="AO6" i="6" s="1"/>
  <c r="AP6" i="6" s="1"/>
  <c r="H28" i="3"/>
  <c r="AF34" i="6"/>
  <c r="G34" i="1" s="1"/>
  <c r="AG34" i="6"/>
  <c r="AF43" i="6"/>
  <c r="G43" i="1" s="1"/>
  <c r="AG43" i="6"/>
  <c r="AI43" i="6" s="1"/>
  <c r="AH43" i="6" s="1"/>
  <c r="AO43" i="6" s="1"/>
  <c r="AP43" i="6" s="1"/>
  <c r="AQ43" i="6" s="1"/>
  <c r="H43" i="1" s="1"/>
  <c r="AG46" i="6"/>
  <c r="AI46" i="6" s="1"/>
  <c r="AH46" i="6" s="1"/>
  <c r="AO46" i="6" s="1"/>
  <c r="AP46" i="6" s="1"/>
  <c r="AG10" i="6"/>
  <c r="AI10" i="6" s="1"/>
  <c r="AH10" i="6" s="1"/>
  <c r="AO10" i="6" s="1"/>
  <c r="AP10" i="6" s="1"/>
  <c r="AG18" i="6"/>
  <c r="AI18" i="6" s="1"/>
  <c r="AH18" i="6" s="1"/>
  <c r="AO18" i="6" s="1"/>
  <c r="AP18" i="6" s="1"/>
  <c r="AW37" i="6"/>
  <c r="AW18" i="6"/>
  <c r="AV18" i="6"/>
  <c r="AX18" i="6"/>
  <c r="AI22" i="6"/>
  <c r="AH22" i="6" s="1"/>
  <c r="AO22" i="6" s="1"/>
  <c r="AP22" i="6" s="1"/>
  <c r="AY4" i="6"/>
  <c r="AX4" i="6"/>
  <c r="AW4" i="6"/>
  <c r="AV4" i="6"/>
  <c r="AX24" i="6"/>
  <c r="AW24" i="6"/>
  <c r="AV24" i="6"/>
  <c r="AV29" i="6"/>
  <c r="AX29" i="6"/>
  <c r="AW29" i="6"/>
  <c r="AF39" i="6"/>
  <c r="G39" i="1" s="1"/>
  <c r="AG39" i="6"/>
  <c r="AX31" i="6"/>
  <c r="AW31" i="6"/>
  <c r="AV31" i="6"/>
  <c r="AG32" i="6"/>
  <c r="AI32" i="6" s="1"/>
  <c r="AH32" i="6" s="1"/>
  <c r="AO32" i="6" s="1"/>
  <c r="AP32" i="6" s="1"/>
  <c r="AQ32" i="6" s="1"/>
  <c r="H32" i="1" s="1"/>
  <c r="AF32" i="6"/>
  <c r="G32" i="1" s="1"/>
  <c r="AI2" i="6"/>
  <c r="AG37" i="6"/>
  <c r="AI37" i="6" s="1"/>
  <c r="AH37" i="6" s="1"/>
  <c r="AO37" i="6" s="1"/>
  <c r="AP37" i="6" s="1"/>
  <c r="AQ37" i="6" s="1"/>
  <c r="H37" i="1" s="1"/>
  <c r="AF37" i="6"/>
  <c r="G37" i="1" s="1"/>
  <c r="AW6" i="6"/>
  <c r="AV6" i="6"/>
  <c r="AX6" i="6"/>
  <c r="AW22" i="6"/>
  <c r="AV22" i="6"/>
  <c r="AX22" i="6"/>
  <c r="AW38" i="6"/>
  <c r="AV38" i="6"/>
  <c r="AX38" i="6"/>
  <c r="AX12" i="6"/>
  <c r="AW12" i="6"/>
  <c r="AV12" i="6"/>
  <c r="AX44" i="6"/>
  <c r="AW44" i="6"/>
  <c r="AV44" i="6"/>
  <c r="AI26" i="6"/>
  <c r="AH26" i="6" s="1"/>
  <c r="AO26" i="6" s="1"/>
  <c r="AP26" i="6" s="1"/>
  <c r="AG41" i="6"/>
  <c r="AI41" i="6" s="1"/>
  <c r="AH41" i="6" s="1"/>
  <c r="AO41" i="6" s="1"/>
  <c r="AP41" i="6" s="1"/>
  <c r="AQ41" i="6" s="1"/>
  <c r="H41" i="1" s="1"/>
  <c r="AF41" i="6"/>
  <c r="G41" i="1" s="1"/>
  <c r="AI23" i="6"/>
  <c r="AH23" i="6" s="1"/>
  <c r="AO23" i="6" s="1"/>
  <c r="AP23" i="6" s="1"/>
  <c r="AR19" i="6"/>
  <c r="K19" i="1" s="1"/>
  <c r="AV5" i="6"/>
  <c r="AX5" i="6"/>
  <c r="AW5" i="6"/>
  <c r="AV45" i="6"/>
  <c r="AX45" i="6"/>
  <c r="AW45" i="6"/>
  <c r="AG45" i="6"/>
  <c r="AI45" i="6" s="1"/>
  <c r="AH45" i="6" s="1"/>
  <c r="AO45" i="6" s="1"/>
  <c r="AP45" i="6" s="1"/>
  <c r="AQ45" i="6" s="1"/>
  <c r="H45" i="1" s="1"/>
  <c r="AF45" i="6"/>
  <c r="G45" i="1" s="1"/>
  <c r="AX27" i="6"/>
  <c r="AW27" i="6"/>
  <c r="AV27" i="6"/>
  <c r="AG8" i="6"/>
  <c r="AI8" i="6" s="1"/>
  <c r="AH8" i="6" s="1"/>
  <c r="AO8" i="6" s="1"/>
  <c r="AP8" i="6" s="1"/>
  <c r="AQ8" i="6" s="1"/>
  <c r="H8" i="1" s="1"/>
  <c r="AF8" i="6"/>
  <c r="G8" i="1" s="1"/>
  <c r="AV41" i="6"/>
  <c r="AX41" i="6"/>
  <c r="AW41" i="6"/>
  <c r="AG17" i="6"/>
  <c r="AI17" i="6" s="1"/>
  <c r="AH17" i="6" s="1"/>
  <c r="AO17" i="6" s="1"/>
  <c r="AP17" i="6" s="1"/>
  <c r="AF17" i="6"/>
  <c r="G17" i="1" s="1"/>
  <c r="AG40" i="6"/>
  <c r="AI40" i="6" s="1"/>
  <c r="AH40" i="6" s="1"/>
  <c r="AO40" i="6" s="1"/>
  <c r="AP40" i="6" s="1"/>
  <c r="AQ40" i="6" s="1"/>
  <c r="H40" i="1" s="1"/>
  <c r="AF40" i="6"/>
  <c r="G40" i="1" s="1"/>
  <c r="AW34" i="6"/>
  <c r="AV34" i="6"/>
  <c r="AX34" i="6"/>
  <c r="AI15" i="6"/>
  <c r="AH15" i="6" s="1"/>
  <c r="AO15" i="6" s="1"/>
  <c r="AP15" i="6" s="1"/>
  <c r="AX7" i="6"/>
  <c r="AW7" i="6"/>
  <c r="AV7" i="6"/>
  <c r="AX19" i="6"/>
  <c r="AW19" i="6"/>
  <c r="AV19" i="6"/>
  <c r="AX23" i="6"/>
  <c r="AW23" i="6"/>
  <c r="AV23" i="6"/>
  <c r="AX40" i="6"/>
  <c r="AW40" i="6"/>
  <c r="AV40" i="6"/>
  <c r="AV17" i="6"/>
  <c r="AX17" i="6"/>
  <c r="AW17" i="6"/>
  <c r="AG20" i="6"/>
  <c r="AI20" i="6" s="1"/>
  <c r="AH20" i="6" s="1"/>
  <c r="AO20" i="6" s="1"/>
  <c r="AP20" i="6" s="1"/>
  <c r="AQ20" i="6" s="1"/>
  <c r="H20" i="1" s="1"/>
  <c r="AF20" i="6"/>
  <c r="G20" i="1" s="1"/>
  <c r="AI11" i="6"/>
  <c r="AH11" i="6" s="1"/>
  <c r="AO11" i="6" s="1"/>
  <c r="AP11" i="6" s="1"/>
  <c r="AW10" i="6"/>
  <c r="AV10" i="6"/>
  <c r="AX10" i="6"/>
  <c r="AW26" i="6"/>
  <c r="AV26" i="6"/>
  <c r="AX26" i="6"/>
  <c r="AW42" i="6"/>
  <c r="AV42" i="6"/>
  <c r="AX42" i="6"/>
  <c r="AX20" i="6"/>
  <c r="AW20" i="6"/>
  <c r="AV20" i="6"/>
  <c r="AG13" i="6"/>
  <c r="AI13" i="6" s="1"/>
  <c r="AH13" i="6" s="1"/>
  <c r="AO13" i="6" s="1"/>
  <c r="AP13" i="6" s="1"/>
  <c r="AQ13" i="6" s="1"/>
  <c r="H13" i="1" s="1"/>
  <c r="AF13" i="6"/>
  <c r="G13" i="1" s="1"/>
  <c r="AX8" i="6"/>
  <c r="AW8" i="6"/>
  <c r="AV8" i="6"/>
  <c r="AV33" i="6"/>
  <c r="AX33" i="6"/>
  <c r="AW33" i="6"/>
  <c r="AG25" i="6"/>
  <c r="AI25" i="6" s="1"/>
  <c r="AH25" i="6" s="1"/>
  <c r="AO25" i="6" s="1"/>
  <c r="AP25" i="6" s="1"/>
  <c r="AQ25" i="6" s="1"/>
  <c r="H25" i="1" s="1"/>
  <c r="AF25" i="6"/>
  <c r="G25" i="1" s="1"/>
  <c r="AI31" i="6"/>
  <c r="AH31" i="6" s="1"/>
  <c r="AO31" i="6" s="1"/>
  <c r="AP31" i="6" s="1"/>
  <c r="AR27" i="6"/>
  <c r="K27" i="1" s="1"/>
  <c r="AV13" i="6"/>
  <c r="AX13" i="6"/>
  <c r="AW13" i="6"/>
  <c r="AF7" i="6"/>
  <c r="G7" i="1" s="1"/>
  <c r="AG7" i="6"/>
  <c r="AX3" i="6"/>
  <c r="AW3" i="6"/>
  <c r="AV3" i="6"/>
  <c r="AY3" i="6"/>
  <c r="AX15" i="6"/>
  <c r="AW15" i="6"/>
  <c r="AV15" i="6"/>
  <c r="AX35" i="6"/>
  <c r="AW35" i="6"/>
  <c r="AV35" i="6"/>
  <c r="AX39" i="6"/>
  <c r="AW39" i="6"/>
  <c r="AV39" i="6"/>
  <c r="AX47" i="6"/>
  <c r="AW47" i="6"/>
  <c r="AV47" i="6"/>
  <c r="AG24" i="6"/>
  <c r="AI24" i="6" s="1"/>
  <c r="AH24" i="6" s="1"/>
  <c r="AO24" i="6" s="1"/>
  <c r="AP24" i="6" s="1"/>
  <c r="AQ24" i="6" s="1"/>
  <c r="H24" i="1" s="1"/>
  <c r="AF24" i="6"/>
  <c r="G24" i="1" s="1"/>
  <c r="AG44" i="6"/>
  <c r="AI44" i="6" s="1"/>
  <c r="AH44" i="6" s="1"/>
  <c r="AO44" i="6" s="1"/>
  <c r="AP44" i="6" s="1"/>
  <c r="AQ44" i="6" s="1"/>
  <c r="H44" i="1" s="1"/>
  <c r="AF44" i="6"/>
  <c r="G44" i="1" s="1"/>
  <c r="AG5" i="6"/>
  <c r="AI5" i="6" s="1"/>
  <c r="AH5" i="6" s="1"/>
  <c r="AO5" i="6" s="1"/>
  <c r="AP5" i="6" s="1"/>
  <c r="AQ5" i="6" s="1"/>
  <c r="H5" i="1" s="1"/>
  <c r="AF5" i="6"/>
  <c r="G5" i="1" s="1"/>
  <c r="AG12" i="6"/>
  <c r="AI12" i="6" s="1"/>
  <c r="AH12" i="6" s="1"/>
  <c r="AO12" i="6" s="1"/>
  <c r="AP12" i="6" s="1"/>
  <c r="AQ12" i="6" s="1"/>
  <c r="H12" i="1" s="1"/>
  <c r="AF12" i="6"/>
  <c r="G12" i="1" s="1"/>
  <c r="AV9" i="6"/>
  <c r="AX9" i="6"/>
  <c r="AW9" i="6"/>
  <c r="AW2" i="6"/>
  <c r="AY2" i="6"/>
  <c r="AV2" i="6"/>
  <c r="AX2" i="6"/>
  <c r="AX36" i="6"/>
  <c r="AW36" i="6"/>
  <c r="AV36" i="6"/>
  <c r="AW14" i="6"/>
  <c r="AV14" i="6"/>
  <c r="AX14" i="6"/>
  <c r="AW30" i="6"/>
  <c r="AV30" i="6"/>
  <c r="AX30" i="6"/>
  <c r="AW46" i="6"/>
  <c r="AV46" i="6"/>
  <c r="AX46" i="6"/>
  <c r="AX28" i="6"/>
  <c r="AW28" i="6"/>
  <c r="AV28" i="6"/>
  <c r="AG33" i="6"/>
  <c r="AI33" i="6" s="1"/>
  <c r="AH33" i="6" s="1"/>
  <c r="AO33" i="6" s="1"/>
  <c r="AP33" i="6" s="1"/>
  <c r="AQ33" i="6" s="1"/>
  <c r="H33" i="1" s="1"/>
  <c r="AF33" i="6"/>
  <c r="G33" i="1" s="1"/>
  <c r="AX16" i="6"/>
  <c r="AW16" i="6"/>
  <c r="AV16" i="6"/>
  <c r="AG9" i="6"/>
  <c r="AI9" i="6" s="1"/>
  <c r="AH9" i="6" s="1"/>
  <c r="AO9" i="6" s="1"/>
  <c r="AP9" i="6" s="1"/>
  <c r="AQ9" i="6" s="1"/>
  <c r="H9" i="1" s="1"/>
  <c r="AF9" i="6"/>
  <c r="G9" i="1" s="1"/>
  <c r="AR35" i="6"/>
  <c r="K35" i="1" s="1"/>
  <c r="AV21" i="6"/>
  <c r="AX21" i="6"/>
  <c r="AW21" i="6"/>
  <c r="AG29" i="6"/>
  <c r="AI29" i="6" s="1"/>
  <c r="AH29" i="6" s="1"/>
  <c r="AO29" i="6" s="1"/>
  <c r="AP29" i="6" s="1"/>
  <c r="AQ29" i="6" s="1"/>
  <c r="H29" i="1" s="1"/>
  <c r="AF29" i="6"/>
  <c r="G29" i="1" s="1"/>
  <c r="AX11" i="6"/>
  <c r="AW11" i="6"/>
  <c r="AV11" i="6"/>
  <c r="AX43" i="6"/>
  <c r="AW43" i="6"/>
  <c r="AV43" i="6"/>
  <c r="AG16" i="6"/>
  <c r="AI16" i="6" s="1"/>
  <c r="AH16" i="6" s="1"/>
  <c r="AO16" i="6" s="1"/>
  <c r="AP16" i="6" s="1"/>
  <c r="AQ16" i="6" s="1"/>
  <c r="H16" i="1" s="1"/>
  <c r="AF16" i="6"/>
  <c r="G16" i="1" s="1"/>
  <c r="AG36" i="6"/>
  <c r="AI36" i="6" s="1"/>
  <c r="AH36" i="6" s="1"/>
  <c r="AO36" i="6" s="1"/>
  <c r="AP36" i="6" s="1"/>
  <c r="AQ36" i="6" s="1"/>
  <c r="H36" i="1" s="1"/>
  <c r="AF36" i="6"/>
  <c r="G36" i="1" s="1"/>
  <c r="AG4" i="6"/>
  <c r="AI4" i="6" s="1"/>
  <c r="AH4" i="6" s="1"/>
  <c r="AO4" i="6" s="1"/>
  <c r="AP4" i="6" s="1"/>
  <c r="AQ4" i="6" s="1"/>
  <c r="H4" i="1" s="1"/>
  <c r="AF4" i="6"/>
  <c r="G4" i="1" s="1"/>
  <c r="AG28" i="6"/>
  <c r="AI28" i="6" s="1"/>
  <c r="AH28" i="6" s="1"/>
  <c r="AO28" i="6" s="1"/>
  <c r="AP28" i="6" s="1"/>
  <c r="AQ28" i="6" s="1"/>
  <c r="H28" i="1" s="1"/>
  <c r="AF28" i="6"/>
  <c r="G28" i="1" s="1"/>
  <c r="AI3" i="6"/>
  <c r="AH3" i="6" s="1"/>
  <c r="AO3" i="6" s="1"/>
  <c r="AP3" i="6" s="1"/>
  <c r="AV25" i="6"/>
  <c r="AX25" i="6"/>
  <c r="AW25" i="6"/>
  <c r="AG21" i="6"/>
  <c r="AI21" i="6" s="1"/>
  <c r="AH21" i="6" s="1"/>
  <c r="AO21" i="6" s="1"/>
  <c r="AP21" i="6" s="1"/>
  <c r="AQ21" i="6" s="1"/>
  <c r="H21" i="1" s="1"/>
  <c r="AF21" i="6"/>
  <c r="G21" i="1" s="1"/>
  <c r="K50" i="1" l="1"/>
  <c r="AS50" i="6"/>
  <c r="K48" i="1"/>
  <c r="AS48" i="6"/>
  <c r="AR44" i="6"/>
  <c r="K44" i="1" s="1"/>
  <c r="AH2" i="6"/>
  <c r="AO2" i="6" s="1"/>
  <c r="AP2" i="6" s="1"/>
  <c r="AQ2" i="6" s="1"/>
  <c r="H2" i="1" s="1"/>
  <c r="H32" i="3"/>
  <c r="AR8" i="6"/>
  <c r="AR32" i="6"/>
  <c r="AQ47" i="6"/>
  <c r="H47" i="1" s="1"/>
  <c r="AQ42" i="6"/>
  <c r="H42" i="1" s="1"/>
  <c r="AQ18" i="6"/>
  <c r="H18" i="1" s="1"/>
  <c r="AQ31" i="6"/>
  <c r="H31" i="1" s="1"/>
  <c r="AR38" i="6"/>
  <c r="K38" i="1" s="1"/>
  <c r="AQ3" i="6"/>
  <c r="H3" i="1" s="1"/>
  <c r="AQ46" i="6"/>
  <c r="H46" i="1" s="1"/>
  <c r="AQ6" i="6"/>
  <c r="H6" i="1" s="1"/>
  <c r="AQ11" i="6"/>
  <c r="H11" i="1" s="1"/>
  <c r="AQ15" i="6"/>
  <c r="H15" i="1" s="1"/>
  <c r="AQ23" i="6"/>
  <c r="H23" i="1" s="1"/>
  <c r="AQ26" i="6"/>
  <c r="H26" i="1" s="1"/>
  <c r="AQ22" i="6"/>
  <c r="H22" i="1" s="1"/>
  <c r="C51" i="1"/>
  <c r="G7" i="2" s="1"/>
  <c r="H30" i="3"/>
  <c r="H31" i="3"/>
  <c r="D51" i="1"/>
  <c r="H12" i="2" s="1"/>
  <c r="AR12" i="6"/>
  <c r="K12" i="1" s="1"/>
  <c r="AQ14" i="6"/>
  <c r="H14" i="1" s="1"/>
  <c r="AR40" i="6"/>
  <c r="AR43" i="6"/>
  <c r="K43" i="1" s="1"/>
  <c r="AQ10" i="6"/>
  <c r="H10" i="1" s="1"/>
  <c r="AQ17" i="6"/>
  <c r="H17" i="1" s="1"/>
  <c r="AR37" i="6"/>
  <c r="K37" i="1" s="1"/>
  <c r="AQ30" i="6"/>
  <c r="H30" i="1" s="1"/>
  <c r="E51" i="1"/>
  <c r="H13" i="2" s="1"/>
  <c r="AI34" i="6"/>
  <c r="AH34" i="6" s="1"/>
  <c r="AO34" i="6" s="1"/>
  <c r="AP34" i="6" s="1"/>
  <c r="AQ34" i="6" s="1"/>
  <c r="H34" i="1" s="1"/>
  <c r="AR21" i="6"/>
  <c r="K21" i="1" s="1"/>
  <c r="AS44" i="6"/>
  <c r="M44" i="1" s="1"/>
  <c r="AR20" i="6"/>
  <c r="K20" i="1" s="1"/>
  <c r="AR45" i="6"/>
  <c r="K45" i="1" s="1"/>
  <c r="AR36" i="6"/>
  <c r="K36" i="1" s="1"/>
  <c r="AS38" i="6"/>
  <c r="M38" i="1" s="1"/>
  <c r="AR24" i="6"/>
  <c r="K24" i="1" s="1"/>
  <c r="AR13" i="6"/>
  <c r="K13" i="1" s="1"/>
  <c r="AR41" i="6"/>
  <c r="K41" i="1" s="1"/>
  <c r="AR25" i="6"/>
  <c r="K25" i="1" s="1"/>
  <c r="AS27" i="6"/>
  <c r="M27" i="1" s="1"/>
  <c r="AR4" i="6"/>
  <c r="K4" i="1" s="1"/>
  <c r="AS19" i="6"/>
  <c r="M19" i="1" s="1"/>
  <c r="AR29" i="6"/>
  <c r="K29" i="1" s="1"/>
  <c r="AR33" i="6"/>
  <c r="K33" i="1" s="1"/>
  <c r="AR5" i="6"/>
  <c r="K5" i="1" s="1"/>
  <c r="AR28" i="6"/>
  <c r="K28" i="1" s="1"/>
  <c r="AR16" i="6"/>
  <c r="K16" i="1" s="1"/>
  <c r="AS35" i="6"/>
  <c r="M35" i="1" s="1"/>
  <c r="AR9" i="6"/>
  <c r="K9" i="1" s="1"/>
  <c r="AI39" i="6"/>
  <c r="AH39" i="6" s="1"/>
  <c r="AO39" i="6" s="1"/>
  <c r="AP39" i="6" s="1"/>
  <c r="H16" i="3"/>
  <c r="AI7" i="6"/>
  <c r="AH7" i="6" s="1"/>
  <c r="AO7" i="6" s="1"/>
  <c r="AP7" i="6" s="1"/>
  <c r="M48" i="1" l="1"/>
  <c r="AT48" i="6"/>
  <c r="AT50" i="6"/>
  <c r="M50" i="1"/>
  <c r="AS8" i="6"/>
  <c r="M8" i="1" s="1"/>
  <c r="K8" i="1"/>
  <c r="AS40" i="6"/>
  <c r="M40" i="1" s="1"/>
  <c r="K40" i="1"/>
  <c r="AS32" i="6"/>
  <c r="M32" i="1" s="1"/>
  <c r="K32" i="1"/>
  <c r="H9" i="2"/>
  <c r="AS37" i="6"/>
  <c r="M37" i="1" s="1"/>
  <c r="AS43" i="6"/>
  <c r="M43" i="1" s="1"/>
  <c r="H25" i="3"/>
  <c r="AS12" i="6"/>
  <c r="AR30" i="6"/>
  <c r="K30" i="1" s="1"/>
  <c r="AR22" i="6"/>
  <c r="K22" i="1" s="1"/>
  <c r="AR2" i="6"/>
  <c r="AR26" i="6"/>
  <c r="K26" i="1" s="1"/>
  <c r="AR23" i="6"/>
  <c r="K23" i="1" s="1"/>
  <c r="AR15" i="6"/>
  <c r="K15" i="1" s="1"/>
  <c r="AR11" i="6"/>
  <c r="K11" i="1" s="1"/>
  <c r="AR6" i="6"/>
  <c r="K6" i="1" s="1"/>
  <c r="AR46" i="6"/>
  <c r="K46" i="1" s="1"/>
  <c r="AR3" i="6"/>
  <c r="K3" i="1" s="1"/>
  <c r="AQ39" i="6"/>
  <c r="H39" i="1" s="1"/>
  <c r="H23" i="3"/>
  <c r="H26" i="3"/>
  <c r="AR34" i="6"/>
  <c r="K34" i="1" s="1"/>
  <c r="AQ7" i="6"/>
  <c r="H7" i="1" s="1"/>
  <c r="H24" i="3"/>
  <c r="AR17" i="6"/>
  <c r="K17" i="1" s="1"/>
  <c r="AR10" i="6"/>
  <c r="K10" i="1" s="1"/>
  <c r="AR14" i="6"/>
  <c r="K14" i="1" s="1"/>
  <c r="AR31" i="6"/>
  <c r="K31" i="1" s="1"/>
  <c r="AR18" i="6"/>
  <c r="K18" i="1" s="1"/>
  <c r="AR42" i="6"/>
  <c r="K42" i="1" s="1"/>
  <c r="AR47" i="6"/>
  <c r="K47" i="1" s="1"/>
  <c r="AT43" i="6"/>
  <c r="AS9" i="6"/>
  <c r="M9" i="1" s="1"/>
  <c r="AT38" i="6"/>
  <c r="AS4" i="6"/>
  <c r="M4" i="1" s="1"/>
  <c r="AT35" i="6"/>
  <c r="AS28" i="6"/>
  <c r="M28" i="1" s="1"/>
  <c r="AS5" i="6"/>
  <c r="M5" i="1" s="1"/>
  <c r="AS29" i="6"/>
  <c r="M29" i="1" s="1"/>
  <c r="AS25" i="6"/>
  <c r="M25" i="1" s="1"/>
  <c r="AS41" i="6"/>
  <c r="M41" i="1" s="1"/>
  <c r="AS24" i="6"/>
  <c r="M24" i="1" s="1"/>
  <c r="AS45" i="6"/>
  <c r="M45" i="1" s="1"/>
  <c r="AT8" i="6"/>
  <c r="AS16" i="6"/>
  <c r="M16" i="1" s="1"/>
  <c r="AS33" i="6"/>
  <c r="M33" i="1" s="1"/>
  <c r="AT19" i="6"/>
  <c r="AT32" i="6"/>
  <c r="AS13" i="6"/>
  <c r="M13" i="1" s="1"/>
  <c r="AS36" i="6"/>
  <c r="M36" i="1" s="1"/>
  <c r="AT44" i="6"/>
  <c r="AT27" i="6"/>
  <c r="AS20" i="6"/>
  <c r="M20" i="1" s="1"/>
  <c r="AS21" i="6"/>
  <c r="M21" i="1" s="1"/>
  <c r="H34" i="3"/>
  <c r="G51" i="1"/>
  <c r="Z5" i="11"/>
  <c r="AA5" i="11" s="1"/>
  <c r="Z49" i="11"/>
  <c r="AA49" i="11" s="1"/>
  <c r="Z41" i="11"/>
  <c r="AA41" i="11" s="1"/>
  <c r="Z29" i="11"/>
  <c r="AA29" i="11" s="1"/>
  <c r="Z25" i="11"/>
  <c r="AA25" i="11" s="1"/>
  <c r="Z17" i="11"/>
  <c r="AA17" i="11" s="1"/>
  <c r="Z13" i="11"/>
  <c r="AA13" i="11" s="1"/>
  <c r="Z9" i="11"/>
  <c r="AA9" i="11" s="1"/>
  <c r="Z48" i="11"/>
  <c r="AA48" i="11" s="1"/>
  <c r="Z44" i="11"/>
  <c r="AA44" i="11" s="1"/>
  <c r="Z40" i="11"/>
  <c r="AA40" i="11" s="1"/>
  <c r="Z36" i="11"/>
  <c r="AA36" i="11" s="1"/>
  <c r="Z32" i="11"/>
  <c r="AA32" i="11" s="1"/>
  <c r="Z28" i="11"/>
  <c r="AA28" i="11" s="1"/>
  <c r="Z24" i="11"/>
  <c r="AA24" i="11" s="1"/>
  <c r="Z20" i="11"/>
  <c r="AA20" i="11" s="1"/>
  <c r="Z16" i="11"/>
  <c r="AA16" i="11" s="1"/>
  <c r="Z12" i="11"/>
  <c r="AA12" i="11" s="1"/>
  <c r="Z8" i="11"/>
  <c r="AA8" i="11" s="1"/>
  <c r="Z4" i="11"/>
  <c r="AA4" i="11" s="1"/>
  <c r="Z33" i="11"/>
  <c r="AA33" i="11" s="1"/>
  <c r="Z51" i="11"/>
  <c r="AA51" i="11" s="1"/>
  <c r="Z43" i="11"/>
  <c r="AA43" i="11" s="1"/>
  <c r="Z39" i="11"/>
  <c r="AA39" i="11" s="1"/>
  <c r="Z35" i="11"/>
  <c r="AA35" i="11" s="1"/>
  <c r="Z31" i="11"/>
  <c r="AA31" i="11" s="1"/>
  <c r="Z27" i="11"/>
  <c r="AA27" i="11" s="1"/>
  <c r="Z23" i="11"/>
  <c r="AA23" i="11" s="1"/>
  <c r="Z19" i="11"/>
  <c r="AA19" i="11" s="1"/>
  <c r="Z15" i="11"/>
  <c r="AA15" i="11" s="1"/>
  <c r="Z11" i="11"/>
  <c r="AA11" i="11" s="1"/>
  <c r="Z7" i="11"/>
  <c r="AA7" i="11" s="1"/>
  <c r="Z3" i="11"/>
  <c r="AA3" i="11" s="1"/>
  <c r="Z45" i="11"/>
  <c r="AA45" i="11" s="1"/>
  <c r="Z37" i="11"/>
  <c r="AA37" i="11" s="1"/>
  <c r="Z21" i="11"/>
  <c r="AA21" i="11" s="1"/>
  <c r="Z47" i="11"/>
  <c r="AA47" i="11" s="1"/>
  <c r="Z50" i="11"/>
  <c r="AA50" i="11" s="1"/>
  <c r="Z46" i="11"/>
  <c r="AA46" i="11" s="1"/>
  <c r="Z42" i="11"/>
  <c r="AA42" i="11" s="1"/>
  <c r="Z38" i="11"/>
  <c r="AA38" i="11" s="1"/>
  <c r="Z34" i="11"/>
  <c r="AA34" i="11" s="1"/>
  <c r="Z30" i="11"/>
  <c r="AA30" i="11" s="1"/>
  <c r="Z26" i="11"/>
  <c r="AA26" i="11" s="1"/>
  <c r="Z22" i="11"/>
  <c r="AA22" i="11" s="1"/>
  <c r="Z18" i="11"/>
  <c r="AA18" i="11" s="1"/>
  <c r="Z14" i="11"/>
  <c r="AA14" i="11" s="1"/>
  <c r="Z10" i="11"/>
  <c r="AA10" i="11" s="1"/>
  <c r="Z6" i="11"/>
  <c r="AA6" i="11" s="1"/>
  <c r="Z2" i="11"/>
  <c r="AA2" i="11" s="1"/>
  <c r="AT40" i="6" l="1"/>
  <c r="AT12" i="6"/>
  <c r="M12" i="1"/>
  <c r="AT37" i="6"/>
  <c r="AS3" i="6"/>
  <c r="M3" i="1" s="1"/>
  <c r="AS6" i="6"/>
  <c r="M6" i="1" s="1"/>
  <c r="AS15" i="6"/>
  <c r="M15" i="1" s="1"/>
  <c r="AS26" i="6"/>
  <c r="M26" i="1" s="1"/>
  <c r="AS22" i="6"/>
  <c r="M22" i="1" s="1"/>
  <c r="AR7" i="6"/>
  <c r="K7" i="1" s="1"/>
  <c r="AS46" i="6"/>
  <c r="M46" i="1" s="1"/>
  <c r="AS11" i="6"/>
  <c r="M11" i="1" s="1"/>
  <c r="AS23" i="6"/>
  <c r="M23" i="1" s="1"/>
  <c r="K2" i="1"/>
  <c r="AS2" i="6"/>
  <c r="AS30" i="6"/>
  <c r="M30" i="1" s="1"/>
  <c r="AS42" i="6"/>
  <c r="M42" i="1" s="1"/>
  <c r="AS31" i="6"/>
  <c r="M31" i="1" s="1"/>
  <c r="AS10" i="6"/>
  <c r="M10" i="1" s="1"/>
  <c r="AS47" i="6"/>
  <c r="M47" i="1" s="1"/>
  <c r="AS18" i="6"/>
  <c r="M18" i="1" s="1"/>
  <c r="AS14" i="6"/>
  <c r="M14" i="1" s="1"/>
  <c r="AS17" i="6"/>
  <c r="M17" i="1" s="1"/>
  <c r="AS34" i="6"/>
  <c r="M34" i="1" s="1"/>
  <c r="AR39" i="6"/>
  <c r="K39" i="1" s="1"/>
  <c r="AT13" i="6"/>
  <c r="AT33" i="6"/>
  <c r="AT25" i="6"/>
  <c r="AT29" i="6"/>
  <c r="AT4" i="6"/>
  <c r="AT21" i="6"/>
  <c r="AT20" i="6"/>
  <c r="AT36" i="6"/>
  <c r="AT16" i="6"/>
  <c r="AT45" i="6"/>
  <c r="AT24" i="6"/>
  <c r="AT41" i="6"/>
  <c r="AT5" i="6"/>
  <c r="AT28" i="6"/>
  <c r="AT9" i="6"/>
  <c r="AT22" i="6" l="1"/>
  <c r="AT26" i="6"/>
  <c r="AT6" i="6"/>
  <c r="AT3" i="6"/>
  <c r="AT30" i="6"/>
  <c r="AT2" i="6"/>
  <c r="M2" i="1"/>
  <c r="AT23" i="6"/>
  <c r="AT11" i="6"/>
  <c r="AT46" i="6"/>
  <c r="AS7" i="6"/>
  <c r="M7" i="1" s="1"/>
  <c r="AT15" i="6"/>
  <c r="AT34" i="6"/>
  <c r="AT17" i="6"/>
  <c r="AT14" i="6"/>
  <c r="AT18" i="6"/>
  <c r="AT47" i="6"/>
  <c r="AT10" i="6"/>
  <c r="AT31" i="6"/>
  <c r="H51" i="1"/>
  <c r="H15" i="2" s="1"/>
  <c r="H20" i="2" s="1"/>
  <c r="H35" i="3"/>
  <c r="H38" i="3" s="1"/>
  <c r="AS39" i="6"/>
  <c r="M39" i="1" s="1"/>
  <c r="AT42" i="6"/>
  <c r="AT7" i="6" l="1"/>
  <c r="AT39" i="6"/>
  <c r="H39" i="3" l="1"/>
  <c r="H41" i="3"/>
  <c r="K51" i="1"/>
  <c r="G10" i="2" s="1"/>
  <c r="M51" i="1" l="1"/>
  <c r="G17" i="2" s="1"/>
  <c r="H19" i="2" s="1"/>
  <c r="G20" i="2" l="1"/>
</calcChain>
</file>

<file path=xl/sharedStrings.xml><?xml version="1.0" encoding="utf-8"?>
<sst xmlns="http://schemas.openxmlformats.org/spreadsheetml/2006/main" count="879" uniqueCount="289">
  <si>
    <t>SBS</t>
  </si>
  <si>
    <t>RG</t>
  </si>
  <si>
    <t>RC</t>
  </si>
  <si>
    <t>IPM</t>
  </si>
  <si>
    <t>TRIMF</t>
  </si>
  <si>
    <t>IR</t>
  </si>
  <si>
    <t>Opposition</t>
  </si>
  <si>
    <t>Retenues</t>
  </si>
  <si>
    <t xml:space="preserve">Indemnités </t>
  </si>
  <si>
    <t>Salaire net</t>
  </si>
  <si>
    <t>Total</t>
  </si>
  <si>
    <t>Avance et Acompte</t>
  </si>
  <si>
    <t>Rémunération directe versée au pers.</t>
  </si>
  <si>
    <t xml:space="preserve">                                                                                               Personnel Rémunération dues </t>
  </si>
  <si>
    <t>Indemnités forfaitaires</t>
  </si>
  <si>
    <t>Personnel Rémunération dues</t>
  </si>
  <si>
    <t xml:space="preserve">                                                                                                                       Avance et Acompte</t>
  </si>
  <si>
    <t xml:space="preserve">                                                                                                                       Retraite obligatoire</t>
  </si>
  <si>
    <t xml:space="preserve">                                                                                                                       Retraite facultative</t>
  </si>
  <si>
    <t xml:space="preserve">                                                                                                                       Mutuelle de Santé</t>
  </si>
  <si>
    <t xml:space="preserve">                                                                                              Etat Impôts Retenus à la source</t>
  </si>
  <si>
    <t xml:space="preserve">                                                                                                                       Opposition</t>
  </si>
  <si>
    <t>Régime Général</t>
  </si>
  <si>
    <t xml:space="preserve">                                                                                                                                                Banque</t>
  </si>
  <si>
    <t xml:space="preserve">                                                                                                                                            Banque</t>
  </si>
  <si>
    <t>N°</t>
  </si>
  <si>
    <t>Matricule</t>
  </si>
  <si>
    <t>Prenom</t>
  </si>
  <si>
    <t>Nom</t>
  </si>
  <si>
    <t>Date Nais</t>
  </si>
  <si>
    <t>Lieu Nais</t>
  </si>
  <si>
    <t xml:space="preserve">Sexe </t>
  </si>
  <si>
    <t>Catégorie</t>
  </si>
  <si>
    <t>Etat_Civil</t>
  </si>
  <si>
    <t>Nb_epouse</t>
  </si>
  <si>
    <t>Nb_enfant</t>
  </si>
  <si>
    <t>Sursalaire</t>
  </si>
  <si>
    <t>H_Supp_15</t>
  </si>
  <si>
    <t>H_Supp_40</t>
  </si>
  <si>
    <t>H_Supp_60</t>
  </si>
  <si>
    <t>H_Supp_100</t>
  </si>
  <si>
    <t>Prime</t>
  </si>
  <si>
    <t>Avantage</t>
  </si>
  <si>
    <t>Indemnite</t>
  </si>
  <si>
    <t>Avance_Ac</t>
  </si>
  <si>
    <t>Prime Non imposable</t>
  </si>
  <si>
    <t>A</t>
  </si>
  <si>
    <t>B</t>
  </si>
  <si>
    <t>C</t>
  </si>
  <si>
    <t>F</t>
  </si>
  <si>
    <t>M</t>
  </si>
  <si>
    <t>Marié</t>
  </si>
  <si>
    <t>Célibataire</t>
  </si>
  <si>
    <t>Prime Non Imposable</t>
  </si>
  <si>
    <t>Age</t>
  </si>
  <si>
    <t>Salaire de Base</t>
  </si>
  <si>
    <t>IPRES</t>
  </si>
  <si>
    <t>1231-BA/B</t>
  </si>
  <si>
    <t>ADAMA</t>
  </si>
  <si>
    <t>BA</t>
  </si>
  <si>
    <t>DAKAR</t>
  </si>
  <si>
    <t>1232-BAMPASSY/B</t>
  </si>
  <si>
    <t>ALEX</t>
  </si>
  <si>
    <t>BAMPASSY</t>
  </si>
  <si>
    <t>TAMBA</t>
  </si>
  <si>
    <t>Celibataire</t>
  </si>
  <si>
    <t>1233-BEYE/B</t>
  </si>
  <si>
    <t>ALA</t>
  </si>
  <si>
    <t>BEYE</t>
  </si>
  <si>
    <t>GOUDIRY</t>
  </si>
  <si>
    <t>1234-BOYE/C</t>
  </si>
  <si>
    <t>MEDOUNE</t>
  </si>
  <si>
    <t>BOYE</t>
  </si>
  <si>
    <t>FATICK</t>
  </si>
  <si>
    <t>1235-CISSE/C</t>
  </si>
  <si>
    <t>LAHAT</t>
  </si>
  <si>
    <t>CISSE</t>
  </si>
  <si>
    <t>GUEDIAWAYE</t>
  </si>
  <si>
    <t>1236-DEME/C</t>
  </si>
  <si>
    <t>FARY</t>
  </si>
  <si>
    <t>DEME</t>
  </si>
  <si>
    <t>RANEROU</t>
  </si>
  <si>
    <t>4567-DIAGNE/A</t>
  </si>
  <si>
    <t>MBOMBE</t>
  </si>
  <si>
    <t>DIAGNE</t>
  </si>
  <si>
    <t>PIKINE</t>
  </si>
  <si>
    <t>4568-DIALLO/A</t>
  </si>
  <si>
    <t>YACINE</t>
  </si>
  <si>
    <t>DIALLO</t>
  </si>
  <si>
    <t>1239-DIALLO/A</t>
  </si>
  <si>
    <t>ALIOUNE MBAYE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</si>
  <si>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</si>
  <si>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</si>
  <si>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</si>
  <si>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</si>
  <si>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</si>
  <si>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</si>
  <si>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</si>
  <si>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ZIGUINCHOR</t>
  </si>
  <si>
    <t>12312-DIATTA/B</t>
  </si>
  <si>
    <t>LEON</t>
  </si>
  <si>
    <t>DIATTA</t>
  </si>
  <si>
    <t>OUSSOUYE</t>
  </si>
  <si>
    <t>45613-DIAW/B</t>
  </si>
  <si>
    <t>AWA</t>
  </si>
  <si>
    <t>DIAW</t>
  </si>
  <si>
    <t>DIOURBEL</t>
  </si>
  <si>
    <t>12314-DIOP/C</t>
  </si>
  <si>
    <t>HABIB</t>
  </si>
  <si>
    <t>DIOP</t>
  </si>
  <si>
    <t>BAMBEY</t>
  </si>
  <si>
    <t>12315-DIOP/C</t>
  </si>
  <si>
    <t>BABACAR</t>
  </si>
  <si>
    <t>12316-DIOUF/C</t>
  </si>
  <si>
    <t>MODOU</t>
  </si>
  <si>
    <t>DIOUF</t>
  </si>
  <si>
    <t>KAFFRINE</t>
  </si>
  <si>
    <t>12317-DIOUF/C</t>
  </si>
  <si>
    <t>HENRY</t>
  </si>
  <si>
    <t>LOMPOUL</t>
  </si>
  <si>
    <t>12318-DIOUM/A</t>
  </si>
  <si>
    <t>ASSANE</t>
  </si>
  <si>
    <t>DIOUM</t>
  </si>
  <si>
    <t>MBOUR</t>
  </si>
  <si>
    <t>12319-FALL/C</t>
  </si>
  <si>
    <t>SENGANE</t>
  </si>
  <si>
    <t>FALL</t>
  </si>
  <si>
    <t>JOAL</t>
  </si>
  <si>
    <t>12320-FALL/B</t>
  </si>
  <si>
    <t>LAMINE</t>
  </si>
  <si>
    <t>YOFF</t>
  </si>
  <si>
    <t>12321-FAYE/B</t>
  </si>
  <si>
    <t>MOUHAMED</t>
  </si>
  <si>
    <t>FAYE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</si>
  <si>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</si>
  <si>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</si>
  <si>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</si>
  <si>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</si>
  <si>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</si>
  <si>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</si>
  <si>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</si>
  <si>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</si>
  <si>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</si>
  <si>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</si>
  <si>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</si>
  <si>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SEDHIOU</t>
  </si>
  <si>
    <t>45625-GUEYE/C</t>
  </si>
  <si>
    <t>KINE</t>
  </si>
  <si>
    <t>AERE LAO</t>
  </si>
  <si>
    <t>12326-KANDJI/C</t>
  </si>
  <si>
    <t>MADIOP</t>
  </si>
  <si>
    <t>KANDJI</t>
  </si>
  <si>
    <t>KEDOUGOU</t>
  </si>
  <si>
    <t>12327-KARE/A</t>
  </si>
  <si>
    <t>KARE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</si>
  <si>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</si>
  <si>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</si>
  <si>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</si>
  <si>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</si>
  <si>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</si>
  <si>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</si>
  <si>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</si>
  <si>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</si>
  <si>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</si>
  <si>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12330-LO/A</t>
  </si>
  <si>
    <t>MOUSTAPHA DIOP</t>
  </si>
  <si>
    <t>LO</t>
  </si>
  <si>
    <t>LINGUERE</t>
  </si>
  <si>
    <t>12331-LY/A</t>
  </si>
  <si>
    <t>ABDOULAYE MASSECK</t>
  </si>
  <si>
    <t>LY</t>
  </si>
  <si>
    <t>LAMBAYE</t>
  </si>
  <si>
    <t>12332-MBAYE/B</t>
  </si>
  <si>
    <t>ABDOU</t>
  </si>
  <si>
    <t>MBAYE</t>
  </si>
  <si>
    <t>KOLDA</t>
  </si>
  <si>
    <t>12333-MBENGUE/B</t>
  </si>
  <si>
    <t>KARIM</t>
  </si>
  <si>
    <t>MBENGUE</t>
  </si>
  <si>
    <t>KAOLACK</t>
  </si>
  <si>
    <t>45634-NDIAYE/B</t>
  </si>
  <si>
    <t>FATIM</t>
  </si>
  <si>
    <t>NDIAYE</t>
  </si>
  <si>
    <t>VELINGARA</t>
  </si>
  <si>
    <t>12335-NGOM/B</t>
  </si>
  <si>
    <t>YOUSSOU</t>
  </si>
  <si>
    <t>NGOM</t>
  </si>
  <si>
    <t>OUAKAM</t>
  </si>
  <si>
    <t>12336-PREIRA/B</t>
  </si>
  <si>
    <t>FRANCOIS</t>
  </si>
  <si>
    <t>PREIRA</t>
  </si>
  <si>
    <t>PARIS</t>
  </si>
  <si>
    <t>12337-SAGNA/C</t>
  </si>
  <si>
    <t>SAGNA</t>
  </si>
  <si>
    <t>12338-SAGNA/A</t>
  </si>
  <si>
    <t>FREDERIC</t>
  </si>
  <si>
    <t>45639-SAMB/C</t>
  </si>
  <si>
    <t>ALIMATOU</t>
  </si>
  <si>
    <t>SAMB</t>
  </si>
  <si>
    <t>RANEIROU</t>
  </si>
  <si>
    <t>45640-SAMB/C</t>
  </si>
  <si>
    <t>DIARRY</t>
  </si>
  <si>
    <t>12341-SARR/A</t>
  </si>
  <si>
    <t>OMAR</t>
  </si>
  <si>
    <t>SARR</t>
  </si>
  <si>
    <t>12342-SECK/C</t>
  </si>
  <si>
    <t>MAURY</t>
  </si>
  <si>
    <t>SECK</t>
  </si>
  <si>
    <t>THIES</t>
  </si>
  <si>
    <t>12343-SENE/C</t>
  </si>
  <si>
    <t xml:space="preserve">IBRAHIMA </t>
  </si>
  <si>
    <t>SENE</t>
  </si>
  <si>
    <t>MBACKE</t>
  </si>
  <si>
    <t>12344-SEYDI/B</t>
  </si>
  <si>
    <t>MOUSSA</t>
  </si>
  <si>
    <t>SEYDI</t>
  </si>
  <si>
    <t>45645-SOW/B</t>
  </si>
  <si>
    <t>KHADY</t>
  </si>
  <si>
    <t>SOW</t>
  </si>
  <si>
    <t>CAS CAS</t>
  </si>
  <si>
    <t>12346-SY/B</t>
  </si>
  <si>
    <t>ALPHA</t>
  </si>
  <si>
    <t>SY</t>
  </si>
  <si>
    <t>12347-TALL/B</t>
  </si>
  <si>
    <t xml:space="preserve">MOUSTAPHA </t>
  </si>
  <si>
    <t>TALL</t>
  </si>
  <si>
    <t>45648-TALL/B</t>
  </si>
  <si>
    <t>NDEYE</t>
  </si>
  <si>
    <t>12349-TAVARESE/B</t>
  </si>
  <si>
    <t>PHILIPPE MODOU</t>
  </si>
  <si>
    <t>TAVARESE</t>
  </si>
  <si>
    <t>12350-THIAM/B</t>
  </si>
  <si>
    <t>KHADIM</t>
  </si>
  <si>
    <t>THIAM</t>
  </si>
  <si>
    <t>Étiquettes de lignes</t>
  </si>
  <si>
    <t>Total général</t>
  </si>
  <si>
    <t xml:space="preserve">Nombre de Sexe </t>
  </si>
  <si>
    <t>Nombre de Catégorie</t>
  </si>
  <si>
    <t>Nombre de IPRES</t>
  </si>
  <si>
    <t>Nombre de Age</t>
  </si>
  <si>
    <t>SBF</t>
  </si>
  <si>
    <t>SB</t>
  </si>
  <si>
    <t>SN</t>
  </si>
  <si>
    <t>NAP</t>
  </si>
  <si>
    <t>Taux horaire</t>
  </si>
  <si>
    <t>nbrTrimf</t>
  </si>
  <si>
    <t>Abt</t>
  </si>
  <si>
    <t>RBA</t>
  </si>
  <si>
    <t>RAI</t>
  </si>
  <si>
    <t>Part</t>
  </si>
  <si>
    <t>PartVrai</t>
  </si>
  <si>
    <t>Taux</t>
  </si>
  <si>
    <t>Min</t>
  </si>
  <si>
    <t>Max</t>
  </si>
  <si>
    <t>Imp1Part</t>
  </si>
  <si>
    <t>Reduction</t>
  </si>
  <si>
    <t>Avances et Acomptes</t>
  </si>
  <si>
    <t>Prénom</t>
  </si>
  <si>
    <t>Date de Naissance</t>
  </si>
  <si>
    <t>Civilité</t>
  </si>
  <si>
    <t>Nombre enfant</t>
  </si>
  <si>
    <t>Régime</t>
  </si>
  <si>
    <t>Montant</t>
  </si>
  <si>
    <t>Libellé</t>
  </si>
  <si>
    <t>Avantages</t>
  </si>
  <si>
    <t>Impôt sur le Revenu</t>
  </si>
  <si>
    <t>Régime Cadre</t>
  </si>
  <si>
    <t>Salaire Brut Fiscal</t>
  </si>
  <si>
    <t>Salaire Brut Social</t>
  </si>
  <si>
    <t>Primes Imposables</t>
  </si>
  <si>
    <t>Heures Supplémentaires à 100%</t>
  </si>
  <si>
    <t>Heures Supplémentaires à 60%</t>
  </si>
  <si>
    <t>Heures Supplémentaires à 40%</t>
  </si>
  <si>
    <t>Heures Supplémentaires à 15%</t>
  </si>
  <si>
    <t>Totales des Retenues</t>
  </si>
  <si>
    <t>Salaire Net</t>
  </si>
  <si>
    <t>Net à Payer</t>
  </si>
  <si>
    <t>26/10/75</t>
  </si>
  <si>
    <t>HS15</t>
  </si>
  <si>
    <t>HS40</t>
  </si>
  <si>
    <t>HS60</t>
  </si>
  <si>
    <t>HS100</t>
  </si>
  <si>
    <t>TOTAL</t>
  </si>
  <si>
    <t>17/10/1982</t>
  </si>
  <si>
    <t>Employés</t>
  </si>
  <si>
    <t>Avances-Acomptes</t>
  </si>
  <si>
    <t>Lieu de Naissance</t>
  </si>
  <si>
    <t>#NOM?</t>
  </si>
  <si>
    <t>(vide)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</si>
</sst>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5"/>
      <color rgb="FF5A5A5A"/>
      <name val="Source Sans Pro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lightDown">
        <bgColor rgb="FFFFFF00"/>
      </patternFill>
    </fill>
    <fill>
      <patternFill patternType="darkGrid">
        <bgColor rgb="FFFF3333"/>
      </patternFill>
    </fill>
    <fill>
      <patternFill patternType="lightUp">
        <bgColor theme="9"/>
      </patternFill>
    </fill>
    <fill>
      <patternFill patternType="darkGrid">
        <bgColor rgb="FFFF3B3B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125">
    <xf numFmtId="0" fontId="0" fillId="0" borderId="0" xfId="0"/>
    <xf numFmtId="0" fontId="0" fillId="0" borderId="1" xfId="0" applyBorder="1"/>
    <xf numFmtId="0" fontId="3" fillId="0" borderId="3" xfId="0" applyFont="1" applyBorder="1"/>
    <xf numFmtId="0" fontId="3" fillId="0" borderId="8" xfId="0" applyFont="1" applyBorder="1"/>
    <xf numFmtId="0" fontId="3" fillId="0" borderId="7" xfId="0" applyFont="1" applyBorder="1"/>
    <xf numFmtId="0" fontId="3" fillId="0" borderId="4" xfId="0" applyFont="1" applyBorder="1"/>
    <xf numFmtId="0" fontId="3" fillId="0" borderId="10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5" xfId="0" applyFont="1" applyBorder="1" applyAlignment="1">
      <alignment horizontal="righ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4" fillId="0" borderId="0" xfId="0" applyFont="1" applyFill="1"/>
    <xf numFmtId="0" fontId="0" fillId="0" borderId="0" xfId="0" applyFill="1"/>
    <xf numFmtId="0" fontId="3" fillId="0" borderId="8" xfId="0" applyFont="1" applyBorder="1" applyAlignment="1">
      <alignment horizontal="left" vertical="top"/>
    </xf>
    <xf numFmtId="0" fontId="0" fillId="0" borderId="0" xfId="0"/>
    <xf numFmtId="0" fontId="3" fillId="0" borderId="0" xfId="0" applyFont="1"/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/>
    <xf numFmtId="14" fontId="3" fillId="0" borderId="2" xfId="0" applyNumberFormat="1" applyFont="1" applyBorder="1"/>
    <xf numFmtId="0" fontId="3" fillId="0" borderId="2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0" xfId="0" applyFont="1"/>
    <xf numFmtId="0" fontId="8" fillId="0" borderId="0" xfId="0" applyFont="1"/>
    <xf numFmtId="0" fontId="2" fillId="0" borderId="8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 applyAlignment="1">
      <alignment horizontal="left"/>
    </xf>
    <xf numFmtId="49" fontId="0" fillId="0" borderId="0" xfId="0" applyNumberFormat="1"/>
    <xf numFmtId="0" fontId="2" fillId="0" borderId="6" xfId="0" applyFont="1" applyFill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9" fillId="0" borderId="2" xfId="0" applyFont="1" applyBorder="1"/>
    <xf numFmtId="0" fontId="9" fillId="0" borderId="0" xfId="0" applyFont="1" applyBorder="1"/>
    <xf numFmtId="0" fontId="0" fillId="0" borderId="0" xfId="0" applyFill="1" applyBorder="1"/>
    <xf numFmtId="0" fontId="9" fillId="0" borderId="0" xfId="0" applyFont="1" applyBorder="1" applyAlignment="1"/>
    <xf numFmtId="0" fontId="0" fillId="0" borderId="0" xfId="0" applyBorder="1"/>
    <xf numFmtId="0" fontId="7" fillId="0" borderId="0" xfId="0" applyFont="1" applyFill="1" applyBorder="1"/>
    <xf numFmtId="0" fontId="4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164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Border="1"/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2" fillId="0" borderId="2" xfId="0" applyFont="1" applyFill="1" applyBorder="1" applyAlignment="1"/>
    <xf numFmtId="0" fontId="2" fillId="0" borderId="2" xfId="0" applyFont="1" applyFill="1" applyBorder="1" applyAlignment="1">
      <alignment horizontal="left"/>
    </xf>
    <xf numFmtId="0" fontId="2" fillId="0" borderId="2" xfId="0" applyFont="1" applyFill="1" applyBorder="1"/>
    <xf numFmtId="0" fontId="3" fillId="0" borderId="0" xfId="0" applyFont="1" applyBorder="1"/>
    <xf numFmtId="0" fontId="2" fillId="0" borderId="0" xfId="0" applyFont="1" applyFill="1" applyBorder="1" applyAlignment="1"/>
    <xf numFmtId="0" fontId="2" fillId="0" borderId="0" xfId="0" applyFont="1" applyFill="1" applyBorder="1"/>
    <xf numFmtId="0" fontId="3" fillId="0" borderId="2" xfId="0" applyFont="1" applyBorder="1" applyAlignment="1"/>
    <xf numFmtId="164" fontId="0" fillId="0" borderId="0" xfId="1" applyNumberFormat="1" applyFont="1" applyBorder="1" applyAlignment="1">
      <alignment vertical="center"/>
    </xf>
    <xf numFmtId="164" fontId="12" fillId="0" borderId="0" xfId="1" applyNumberFormat="1" applyFont="1" applyBorder="1" applyAlignment="1">
      <alignment vertical="center"/>
    </xf>
    <xf numFmtId="0" fontId="0" fillId="0" borderId="0" xfId="0" applyFill="1" applyAlignment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64" fontId="13" fillId="7" borderId="9" xfId="1" applyNumberFormat="1" applyFont="1" applyFill="1" applyBorder="1" applyAlignment="1">
      <alignment vertical="center"/>
    </xf>
    <xf numFmtId="164" fontId="13" fillId="7" borderId="8" xfId="1" applyNumberFormat="1" applyFont="1" applyFill="1" applyBorder="1" applyAlignment="1">
      <alignment vertical="center"/>
    </xf>
    <xf numFmtId="164" fontId="0" fillId="0" borderId="9" xfId="1" applyNumberFormat="1" applyFont="1" applyBorder="1" applyAlignment="1">
      <alignment vertical="center"/>
    </xf>
    <xf numFmtId="164" fontId="0" fillId="0" borderId="8" xfId="1" applyNumberFormat="1" applyFont="1" applyBorder="1" applyAlignment="1">
      <alignment vertical="center"/>
    </xf>
    <xf numFmtId="164" fontId="12" fillId="0" borderId="9" xfId="1" applyNumberFormat="1" applyFont="1" applyBorder="1" applyAlignment="1">
      <alignment vertical="center"/>
    </xf>
    <xf numFmtId="164" fontId="12" fillId="0" borderId="8" xfId="1" applyNumberFormat="1" applyFont="1" applyBorder="1" applyAlignment="1">
      <alignment vertical="center"/>
    </xf>
    <xf numFmtId="0" fontId="0" fillId="0" borderId="2" xfId="0" applyBorder="1" applyAlignment="1">
      <alignment vertical="center"/>
    </xf>
    <xf numFmtId="0" fontId="13" fillId="7" borderId="2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/>
    <xf numFmtId="0" fontId="0" fillId="0" borderId="0" xfId="0" applyBorder="1"/>
    <xf numFmtId="0" fontId="10" fillId="6" borderId="2" xfId="0" applyFont="1" applyFill="1" applyBorder="1" applyAlignment="1">
      <alignment horizontal="center"/>
    </xf>
    <xf numFmtId="0" fontId="9" fillId="0" borderId="2" xfId="0" applyFont="1" applyBorder="1" applyAlignment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wrapText="1"/>
    </xf>
    <xf numFmtId="0" fontId="5" fillId="0" borderId="0" xfId="0" applyFont="1" applyFill="1" applyBorder="1"/>
    <xf numFmtId="0" fontId="3" fillId="8" borderId="2" xfId="0" applyFont="1" applyFill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8" borderId="2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14" fontId="3" fillId="8" borderId="2" xfId="0" applyNumberFormat="1" applyFont="1" applyFill="1" applyBorder="1" applyAlignment="1">
      <alignment horizontal="left"/>
    </xf>
    <xf numFmtId="0" fontId="3" fillId="8" borderId="2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4" borderId="2" xfId="0" applyFont="1" applyFill="1" applyBorder="1" applyAlignment="1">
      <alignment horizontal="left" vertical="center"/>
    </xf>
    <xf numFmtId="0" fontId="0" fillId="8" borderId="2" xfId="0" applyFont="1" applyFill="1" applyBorder="1" applyAlignment="1">
      <alignment horizontal="left" vertical="center"/>
    </xf>
    <xf numFmtId="0" fontId="0" fillId="2" borderId="2" xfId="0" applyFont="1" applyFill="1" applyBorder="1" applyAlignment="1">
      <alignment horizontal="left" vertical="center"/>
    </xf>
  </cellXfs>
  <cellStyles count="2">
    <cellStyle name="Milliers" xfId="1" builtinId="3"/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rgb="FF5A5A5A"/>
        <name val="Source Sans Pro"/>
        <family val="2"/>
        <scheme val="none"/>
      </font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lightDown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7/relationships/slicerCache" Target="slicerCaches/slicerCache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6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[Sen'Payor (Officiel).xlsm]camembert!Tableau croisé dynamique1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Répartition</a:t>
            </a:r>
            <a:r>
              <a:rPr lang="en-US" baseline="0">
                <a:solidFill>
                  <a:schemeClr val="bg1"/>
                </a:solidFill>
              </a:rPr>
              <a:t> de l'effectif de l'entreprise selon le sexe</a:t>
            </a:r>
            <a:endParaRPr lang="en-US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13674785088123917"/>
          <c:y val="0.138523390458545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18-4269-95BD-F0B42255C333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18-4269-95BD-F0B42255C333}"/>
              </c:ext>
            </c:extLst>
          </c:dPt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18-4269-95BD-F0B42255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normalizeH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(Officiel).xlsm]age!Tableau croisé dynamique10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fr-FR" baseline="0">
                <a:solidFill>
                  <a:schemeClr val="bg1"/>
                </a:solidFill>
              </a:rPr>
              <a:t>Répartition des âges</a:t>
            </a:r>
          </a:p>
        </c:rich>
      </c:tx>
      <c:layout>
        <c:manualLayout>
          <c:xMode val="edge"/>
          <c:yMode val="edge"/>
          <c:x val="0.38855480484294297"/>
          <c:y val="5.9718794734207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4425">
                <a:srgbClr val="0070C0"/>
              </a:gs>
              <a:gs pos="100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7812073490813648E-2"/>
          <c:y val="0.21326475784747276"/>
          <c:w val="0.95906812293624588"/>
          <c:h val="0.578301479317577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age!$B$3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4425">
                  <a:srgbClr val="0070C0"/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age!$A$4:$A$16</c:f>
              <c:strCache>
                <c:ptCount val="1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</c:strCache>
            </c:strRef>
          </c:cat>
          <c:val>
            <c:numRef>
              <c:f>age!$B$4:$B$16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D-4035-9DCB-B764A7CD43F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(Officiel).xlsm]civilite!Tableau croisé dynamique9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Répartition selon la civilité </a:t>
            </a:r>
          </a:p>
        </c:rich>
      </c:tx>
      <c:layout>
        <c:manualLayout>
          <c:xMode val="edge"/>
          <c:yMode val="edge"/>
          <c:x val="0.28682610152454352"/>
          <c:y val="4.90201882659404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977460418449762"/>
          <c:y val="0.24142678886450669"/>
          <c:w val="0.78160271599917597"/>
          <c:h val="0.53774387576552929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518-43D0-A8F0-4245FE71AAC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518-43D0-A8F0-4245FE71AA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civilite!$A$4:$A$6</c:f>
              <c:strCache>
                <c:ptCount val="2"/>
                <c:pt idx="0">
                  <c:v>Celibataire</c:v>
                </c:pt>
                <c:pt idx="1">
                  <c:v>Marié</c:v>
                </c:pt>
              </c:strCache>
            </c:strRef>
          </c:cat>
          <c:val>
            <c:numRef>
              <c:f>civilite!$B$4:$B$6</c:f>
              <c:numCache>
                <c:formatCode>@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DE-42F0-8EB3-37E0BA2207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35733199"/>
        <c:axId val="1956260335"/>
      </c:bar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[Sen'Payor (Officiel).xlsm]ipres!Tableau croisé dynamique1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Répartition selon l'IPRES</a:t>
            </a:r>
          </a:p>
        </c:rich>
      </c:tx>
      <c:layout>
        <c:manualLayout>
          <c:xMode val="edge"/>
          <c:yMode val="edge"/>
          <c:x val="0.27124763147922015"/>
          <c:y val="7.90349067329150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957135037264722"/>
          <c:y val="0.27202955913933213"/>
          <c:w val="0.42470756663438458"/>
          <c:h val="0.63706134995157693"/>
        </c:manualLayout>
      </c:layout>
      <c:pieChart>
        <c:varyColors val="1"/>
        <c:ser>
          <c:idx val="0"/>
          <c:order val="0"/>
          <c:tx>
            <c:strRef>
              <c:f>ipres!$C$13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F7-4F64-B576-B4C3F7A3CF4B}"/>
              </c:ext>
            </c:extLst>
          </c:dPt>
          <c:dPt>
            <c:idx val="1"/>
            <c:bubble3D val="0"/>
            <c:explosion val="1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F7-4F64-B576-B4C3F7A3CF4B}"/>
              </c:ext>
            </c:extLst>
          </c:dPt>
          <c:dPt>
            <c:idx val="2"/>
            <c:bubble3D val="0"/>
            <c:spPr>
              <a:solidFill>
                <a:schemeClr val="accent2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F7-4F64-B576-B4C3F7A3CF4B}"/>
              </c:ext>
            </c:extLst>
          </c:dPt>
          <c:cat>
            <c:strRef>
              <c:f>ipres!$B$14:$B$17</c:f>
              <c:strCache>
                <c:ptCount val="3"/>
                <c:pt idx="0">
                  <c:v>RC</c:v>
                </c:pt>
                <c:pt idx="1">
                  <c:v>RG</c:v>
                </c:pt>
                <c:pt idx="2">
                  <c:v>(vide)</c:v>
                </c:pt>
              </c:strCache>
            </c:strRef>
          </c:cat>
          <c:val>
            <c:numRef>
              <c:f>ipres!$C$14:$C$17</c:f>
              <c:numCache>
                <c:formatCode>General</c:formatCode>
                <c:ptCount val="3"/>
                <c:pt idx="0">
                  <c:v>22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F7-4F64-B576-B4C3F7A3C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(Officiel).xlsm]categorie!Tableau croisé dynamique7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</a:rPr>
              <a:t>Répatition de la catégorie professionnelle</a:t>
            </a:r>
          </a:p>
        </c:rich>
      </c:tx>
      <c:layout>
        <c:manualLayout>
          <c:xMode val="edge"/>
          <c:yMode val="edge"/>
          <c:x val="0.30137795275590556"/>
          <c:y val="7.30876692522615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categorie!$B$3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237-4FA4-9533-B3E80C8A287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237-4FA4-9533-B3E80C8A287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237-4FA4-9533-B3E80C8A28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categorie!$A$4:$A$7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categorie!$B$4:$B$7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97-4D8C-9033-DE0DA7FEDC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(Officiel).xlsm]camembert!Tableau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</a:t>
            </a:r>
            <a:r>
              <a:rPr lang="en-US" baseline="0"/>
              <a:t> de l'effectif de l'entreprise selon le sexe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camembert!$B$3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379-4374-9E7B-CDA9CCF1CB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79-4374-9E7B-CDA9CCF1CB1B}"/>
              </c:ext>
            </c:extLst>
          </c:dPt>
          <c:cat>
            <c:strRef>
              <c:f>camembert!$A$4:$A$6</c:f>
              <c:strCache>
                <c:ptCount val="2"/>
                <c:pt idx="0">
                  <c:v>F</c:v>
                </c:pt>
                <c:pt idx="1">
                  <c:v>M</c:v>
                </c:pt>
              </c:strCache>
            </c:strRef>
          </c:cat>
          <c:val>
            <c:numRef>
              <c:f>camembert!$B$4:$B$6</c:f>
              <c:numCache>
                <c:formatCode>General</c:formatCode>
                <c:ptCount val="2"/>
                <c:pt idx="0">
                  <c:v>11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D-4846-A33B-8D5150A72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(Officiel).xlsm]categorie!Tableau croisé dynamique7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categorie!$B$3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categorie!$A$4:$A$7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categorie!$B$4:$B$7</c:f>
              <c:numCache>
                <c:formatCode>General</c:formatCode>
                <c:ptCount val="3"/>
                <c:pt idx="0">
                  <c:v>11</c:v>
                </c:pt>
                <c:pt idx="1">
                  <c:v>22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0-42FE-8F8D-2EDC01C53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44897455"/>
        <c:axId val="165181711"/>
      </c:barChart>
      <c:catAx>
        <c:axId val="34489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181711"/>
        <c:crosses val="autoZero"/>
        <c:auto val="1"/>
        <c:lblAlgn val="ctr"/>
        <c:lblOffset val="100"/>
        <c:noMultiLvlLbl val="0"/>
      </c:catAx>
      <c:valAx>
        <c:axId val="16518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489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(Officiel).xlsm]ipres!Tableau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ipres!$C$13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34-41F4-9056-1B0A674DA6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34-41F4-9056-1B0A674DA6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34-41F4-9056-1B0A674DA688}"/>
              </c:ext>
            </c:extLst>
          </c:dPt>
          <c:cat>
            <c:strRef>
              <c:f>ipres!$B$14:$B$17</c:f>
              <c:strCache>
                <c:ptCount val="3"/>
                <c:pt idx="0">
                  <c:v>RC</c:v>
                </c:pt>
                <c:pt idx="1">
                  <c:v>RG</c:v>
                </c:pt>
                <c:pt idx="2">
                  <c:v>(vide)</c:v>
                </c:pt>
              </c:strCache>
            </c:strRef>
          </c:cat>
          <c:val>
            <c:numRef>
              <c:f>ipres!$C$14:$C$17</c:f>
              <c:numCache>
                <c:formatCode>General</c:formatCode>
                <c:ptCount val="3"/>
                <c:pt idx="0">
                  <c:v>22</c:v>
                </c:pt>
                <c:pt idx="1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C-410B-8B2A-6438E2CE2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(Officiel).xlsm]civilite!Tableau croisé dynamique9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civilite!$B$3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civilite!$A$4:$A$6</c:f>
              <c:strCache>
                <c:ptCount val="2"/>
                <c:pt idx="0">
                  <c:v>Celibataire</c:v>
                </c:pt>
                <c:pt idx="1">
                  <c:v>Marié</c:v>
                </c:pt>
              </c:strCache>
            </c:strRef>
          </c:cat>
          <c:val>
            <c:numRef>
              <c:f>civilite!$B$4:$B$6</c:f>
              <c:numCache>
                <c:formatCode>@</c:formatCode>
                <c:ptCount val="2"/>
                <c:pt idx="0">
                  <c:v>20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5-4EFA-9361-809CB1939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5733199"/>
        <c:axId val="1956260335"/>
      </c:barChart>
      <c:catAx>
        <c:axId val="23573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6260335"/>
        <c:crosses val="autoZero"/>
        <c:auto val="1"/>
        <c:lblAlgn val="ctr"/>
        <c:lblOffset val="100"/>
        <c:noMultiLvlLbl val="0"/>
      </c:catAx>
      <c:valAx>
        <c:axId val="1956260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3573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[Sen'Payor (Officiel).xlsm]age!Tableau croisé dynamique10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age!$B$3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age!$A$4:$A$16</c:f>
              <c:strCache>
                <c:ptCount val="12"/>
                <c:pt idx="0">
                  <c:v>34</c:v>
                </c:pt>
                <c:pt idx="1">
                  <c:v>35</c:v>
                </c:pt>
                <c:pt idx="2">
                  <c:v>36</c:v>
                </c:pt>
                <c:pt idx="3">
                  <c:v>37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43</c:v>
                </c:pt>
                <c:pt idx="10">
                  <c:v>44</c:v>
                </c:pt>
                <c:pt idx="11">
                  <c:v>45</c:v>
                </c:pt>
              </c:strCache>
            </c:strRef>
          </c:cat>
          <c:val>
            <c:numRef>
              <c:f>age!$B$4:$B$16</c:f>
              <c:numCache>
                <c:formatCode>General</c:formatCode>
                <c:ptCount val="12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6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2-4538-AD46-C928BF33F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6277663"/>
        <c:axId val="165214991"/>
      </c:barChart>
      <c:catAx>
        <c:axId val="346277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214991"/>
        <c:crosses val="autoZero"/>
        <c:auto val="1"/>
        <c:lblAlgn val="ctr"/>
        <c:lblOffset val="100"/>
        <c:noMultiLvlLbl val="0"/>
      </c:catAx>
      <c:valAx>
        <c:axId val="165214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627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137583</xdr:rowOff>
    </xdr:from>
    <xdr:to>
      <xdr:col>9</xdr:col>
      <xdr:colOff>497416</xdr:colOff>
      <xdr:row>44</xdr:row>
      <xdr:rowOff>84668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3500" y="137583"/>
          <a:ext cx="5408083" cy="8424335"/>
        </a:xfrm>
        <a:prstGeom prst="rect">
          <a:avLst/>
        </a:prstGeom>
        <a:noFill/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476249</xdr:colOff>
      <xdr:row>2</xdr:row>
      <xdr:rowOff>12700</xdr:rowOff>
    </xdr:from>
    <xdr:to>
      <xdr:col>8</xdr:col>
      <xdr:colOff>455084</xdr:colOff>
      <xdr:row>4</xdr:row>
      <xdr:rowOff>95250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539749" y="1155700"/>
          <a:ext cx="4180418" cy="463550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800"/>
            <a:t>BULLETIN DE SALAIRE</a:t>
          </a:r>
        </a:p>
      </xdr:txBody>
    </xdr:sp>
    <xdr:clientData/>
  </xdr:twoCellAnchor>
  <xdr:twoCellAnchor>
    <xdr:from>
      <xdr:col>3</xdr:col>
      <xdr:colOff>409575</xdr:colOff>
      <xdr:row>4</xdr:row>
      <xdr:rowOff>76199</xdr:rowOff>
    </xdr:from>
    <xdr:to>
      <xdr:col>5</xdr:col>
      <xdr:colOff>904875</xdr:colOff>
      <xdr:row>6</xdr:row>
      <xdr:rowOff>38100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838325" y="1600199"/>
          <a:ext cx="1362075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Employé</a:t>
          </a:r>
        </a:p>
      </xdr:txBody>
    </xdr:sp>
    <xdr:clientData/>
  </xdr:twoCellAnchor>
  <xdr:twoCellAnchor>
    <xdr:from>
      <xdr:col>0</xdr:col>
      <xdr:colOff>105834</xdr:colOff>
      <xdr:row>6</xdr:row>
      <xdr:rowOff>28574</xdr:rowOff>
    </xdr:from>
    <xdr:to>
      <xdr:col>9</xdr:col>
      <xdr:colOff>338666</xdr:colOff>
      <xdr:row>16</xdr:row>
      <xdr:rowOff>95250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5834" y="1171574"/>
          <a:ext cx="5206999" cy="2299759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33866</xdr:colOff>
      <xdr:row>16</xdr:row>
      <xdr:rowOff>114300</xdr:rowOff>
    </xdr:from>
    <xdr:to>
      <xdr:col>7</xdr:col>
      <xdr:colOff>91016</xdr:colOff>
      <xdr:row>18</xdr:row>
      <xdr:rowOff>28576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367366" y="4252383"/>
          <a:ext cx="2152650" cy="3481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Informations</a:t>
          </a:r>
          <a:r>
            <a:rPr lang="fr-FR" sz="1800" baseline="0"/>
            <a:t> salaire</a:t>
          </a:r>
          <a:endParaRPr lang="fr-FR" sz="1800"/>
        </a:p>
      </xdr:txBody>
    </xdr:sp>
    <xdr:clientData/>
  </xdr:twoCellAnchor>
  <xdr:twoCellAnchor>
    <xdr:from>
      <xdr:col>0</xdr:col>
      <xdr:colOff>116418</xdr:colOff>
      <xdr:row>18</xdr:row>
      <xdr:rowOff>0</xdr:rowOff>
    </xdr:from>
    <xdr:to>
      <xdr:col>9</xdr:col>
      <xdr:colOff>349251</xdr:colOff>
      <xdr:row>41</xdr:row>
      <xdr:rowOff>76200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16418" y="3810000"/>
          <a:ext cx="5207000" cy="4563533"/>
        </a:xfrm>
        <a:prstGeom prst="rect">
          <a:avLst/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3</xdr:row>
          <xdr:rowOff>171450</xdr:rowOff>
        </xdr:from>
        <xdr:to>
          <xdr:col>14</xdr:col>
          <xdr:colOff>161925</xdr:colOff>
          <xdr:row>7</xdr:row>
          <xdr:rowOff>161925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9</xdr:row>
          <xdr:rowOff>123825</xdr:rowOff>
        </xdr:from>
        <xdr:to>
          <xdr:col>14</xdr:col>
          <xdr:colOff>114300</xdr:colOff>
          <xdr:row>11</xdr:row>
          <xdr:rowOff>228600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495301</xdr:colOff>
      <xdr:row>0</xdr:row>
      <xdr:rowOff>57150</xdr:rowOff>
    </xdr:from>
    <xdr:to>
      <xdr:col>11</xdr:col>
      <xdr:colOff>352425</xdr:colOff>
      <xdr:row>14</xdr:row>
      <xdr:rowOff>19050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5067301" y="57150"/>
          <a:ext cx="3667124" cy="262890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561975</xdr:colOff>
      <xdr:row>0</xdr:row>
      <xdr:rowOff>57149</xdr:rowOff>
    </xdr:from>
    <xdr:to>
      <xdr:col>6</xdr:col>
      <xdr:colOff>438151</xdr:colOff>
      <xdr:row>14</xdr:row>
      <xdr:rowOff>19050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323975" y="57149"/>
          <a:ext cx="3686176" cy="2628901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638176</xdr:colOff>
      <xdr:row>0</xdr:row>
      <xdr:rowOff>133350</xdr:rowOff>
    </xdr:from>
    <xdr:to>
      <xdr:col>6</xdr:col>
      <xdr:colOff>361950</xdr:colOff>
      <xdr:row>13</xdr:row>
      <xdr:rowOff>85725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498232</xdr:colOff>
      <xdr:row>14</xdr:row>
      <xdr:rowOff>53975</xdr:rowOff>
    </xdr:from>
    <xdr:to>
      <xdr:col>16</xdr:col>
      <xdr:colOff>260350</xdr:colOff>
      <xdr:row>28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5070232" y="2720975"/>
          <a:ext cx="7382118" cy="2613025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466725</xdr:colOff>
      <xdr:row>14</xdr:row>
      <xdr:rowOff>104776</xdr:rowOff>
    </xdr:from>
    <xdr:to>
      <xdr:col>16</xdr:col>
      <xdr:colOff>228600</xdr:colOff>
      <xdr:row>27</xdr:row>
      <xdr:rowOff>146538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561975</xdr:colOff>
      <xdr:row>14</xdr:row>
      <xdr:rowOff>53975</xdr:rowOff>
    </xdr:from>
    <xdr:to>
      <xdr:col>6</xdr:col>
      <xdr:colOff>439615</xdr:colOff>
      <xdr:row>27</xdr:row>
      <xdr:rowOff>187325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323975" y="2720975"/>
          <a:ext cx="3687640" cy="2609850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523876</xdr:colOff>
      <xdr:row>0</xdr:row>
      <xdr:rowOff>171450</xdr:rowOff>
    </xdr:from>
    <xdr:to>
      <xdr:col>11</xdr:col>
      <xdr:colOff>295276</xdr:colOff>
      <xdr:row>14</xdr:row>
      <xdr:rowOff>38100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609600</xdr:colOff>
      <xdr:row>14</xdr:row>
      <xdr:rowOff>155576</xdr:rowOff>
    </xdr:from>
    <xdr:to>
      <xdr:col>6</xdr:col>
      <xdr:colOff>361950</xdr:colOff>
      <xdr:row>27</xdr:row>
      <xdr:rowOff>53976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400050</xdr:colOff>
      <xdr:row>0</xdr:row>
      <xdr:rowOff>58616</xdr:rowOff>
    </xdr:from>
    <xdr:to>
      <xdr:col>16</xdr:col>
      <xdr:colOff>266701</xdr:colOff>
      <xdr:row>14</xdr:row>
      <xdr:rowOff>14654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782050" y="58616"/>
          <a:ext cx="3676651" cy="2623038"/>
        </a:xfrm>
        <a:prstGeom prst="rect">
          <a:avLst/>
        </a:prstGeom>
        <a:solidFill>
          <a:schemeClr val="accent5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400049</xdr:colOff>
      <xdr:row>0</xdr:row>
      <xdr:rowOff>88900</xdr:rowOff>
    </xdr:from>
    <xdr:to>
      <xdr:col>16</xdr:col>
      <xdr:colOff>180974</xdr:colOff>
      <xdr:row>13</xdr:row>
      <xdr:rowOff>171450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19050</xdr:colOff>
      <xdr:row>5</xdr:row>
      <xdr:rowOff>38101</xdr:rowOff>
    </xdr:from>
    <xdr:to>
      <xdr:col>1</xdr:col>
      <xdr:colOff>514350</xdr:colOff>
      <xdr:row>10</xdr:row>
      <xdr:rowOff>47625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5" name="Sexe  1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990601"/>
              <a:ext cx="1257300" cy="962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38099</xdr:colOff>
      <xdr:row>10</xdr:row>
      <xdr:rowOff>66675</xdr:rowOff>
    </xdr:from>
    <xdr:to>
      <xdr:col>1</xdr:col>
      <xdr:colOff>514350</xdr:colOff>
      <xdr:row>15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6" name="Etat_Civil 1"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971675"/>
              <a:ext cx="1238251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15</xdr:row>
      <xdr:rowOff>47626</xdr:rowOff>
    </xdr:from>
    <xdr:to>
      <xdr:col>1</xdr:col>
      <xdr:colOff>514350</xdr:colOff>
      <xdr:row>21</xdr:row>
      <xdr:rowOff>104776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7" name="Catégorie 1"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905126"/>
              <a:ext cx="1247775" cy="1200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19050</xdr:colOff>
      <xdr:row>21</xdr:row>
      <xdr:rowOff>142875</xdr:rowOff>
    </xdr:from>
    <xdr:to>
      <xdr:col>1</xdr:col>
      <xdr:colOff>495300</xdr:colOff>
      <xdr:row>26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8" name="IPRES"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PR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4143375"/>
              <a:ext cx="123825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9525</xdr:colOff>
      <xdr:row>26</xdr:row>
      <xdr:rowOff>104775</xdr:rowOff>
    </xdr:from>
    <xdr:to>
      <xdr:col>1</xdr:col>
      <xdr:colOff>495300</xdr:colOff>
      <xdr:row>32</xdr:row>
      <xdr:rowOff>104775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9" name="Age 1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5057775"/>
              <a:ext cx="1247775" cy="1143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3</xdr:row>
      <xdr:rowOff>9525</xdr:rowOff>
    </xdr:from>
    <xdr:to>
      <xdr:col>9</xdr:col>
      <xdr:colOff>314325</xdr:colOff>
      <xdr:row>17</xdr:row>
      <xdr:rowOff>85725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962025</xdr:colOff>
      <xdr:row>9</xdr:row>
      <xdr:rowOff>171451</xdr:rowOff>
    </xdr:from>
    <xdr:to>
      <xdr:col>2</xdr:col>
      <xdr:colOff>304800</xdr:colOff>
      <xdr:row>15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exe 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xe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2025" y="1885951"/>
              <a:ext cx="1828800" cy="1009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</xdr:row>
      <xdr:rowOff>133350</xdr:rowOff>
    </xdr:from>
    <xdr:to>
      <xdr:col>12</xdr:col>
      <xdr:colOff>180975</xdr:colOff>
      <xdr:row>16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733425</xdr:colOff>
      <xdr:row>12</xdr:row>
      <xdr:rowOff>66676</xdr:rowOff>
    </xdr:from>
    <xdr:to>
      <xdr:col>3</xdr:col>
      <xdr:colOff>180975</xdr:colOff>
      <xdr:row>18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3425" y="2352676"/>
              <a:ext cx="18288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4</xdr:row>
      <xdr:rowOff>123825</xdr:rowOff>
    </xdr:from>
    <xdr:to>
      <xdr:col>10</xdr:col>
      <xdr:colOff>123825</xdr:colOff>
      <xdr:row>19</xdr:row>
      <xdr:rowOff>9525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4</xdr:row>
      <xdr:rowOff>114300</xdr:rowOff>
    </xdr:from>
    <xdr:to>
      <xdr:col>9</xdr:col>
      <xdr:colOff>57150</xdr:colOff>
      <xdr:row>19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904875</xdr:colOff>
      <xdr:row>11</xdr:row>
      <xdr:rowOff>180975</xdr:rowOff>
    </xdr:from>
    <xdr:to>
      <xdr:col>3</xdr:col>
      <xdr:colOff>47625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tat_Civil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at_Civ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4875" y="2276475"/>
              <a:ext cx="1828800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4</xdr:row>
      <xdr:rowOff>142875</xdr:rowOff>
    </xdr:from>
    <xdr:to>
      <xdr:col>14</xdr:col>
      <xdr:colOff>419100</xdr:colOff>
      <xdr:row>19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495300</xdr:colOff>
      <xdr:row>11</xdr:row>
      <xdr:rowOff>57150</xdr:rowOff>
    </xdr:from>
    <xdr:to>
      <xdr:col>1</xdr:col>
      <xdr:colOff>923925</xdr:colOff>
      <xdr:row>25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ge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" y="2152650"/>
              <a:ext cx="1828800" cy="2705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" refreshedDate="44013.978263310186" createdVersion="6" refreshedVersion="6" minRefreshableVersion="3" recordCount="50" xr:uid="{587570E8-D53C-42D2-B685-A2ACB778F737}">
  <cacheSource type="worksheet">
    <worksheetSource name="Tableau2"/>
  </cacheSource>
  <cacheFields count="27">
    <cacheField name="N°" numFmtId="0">
      <sharedItems containsSemiMixedTypes="0" containsString="0" containsNumber="1" containsInteger="1" minValue="1" maxValue="50"/>
    </cacheField>
    <cacheField name="Matricule" numFmtId="0">
      <sharedItems/>
    </cacheField>
    <cacheField name="Prenom" numFmtId="0">
      <sharedItems/>
    </cacheField>
    <cacheField name="Nom" numFmtId="0">
      <sharedItems/>
    </cacheField>
    <cacheField name="Date Nais" numFmtId="14">
      <sharedItems containsSemiMixedTypes="0" containsNonDate="0" containsDate="1" containsString="0" minDate="1975-05-04T00:00:00" maxDate="1985-11-19T00:00:00"/>
    </cacheField>
    <cacheField name="Lieu Nais" numFmtId="0">
      <sharedItems/>
    </cacheField>
    <cacheField name="Sexe " numFmtId="0">
      <sharedItems count="2">
        <s v="M"/>
        <s v="F"/>
      </sharedItems>
    </cacheField>
    <cacheField name="Catégorie" numFmtId="0">
      <sharedItems count="3">
        <s v="B"/>
        <s v="C"/>
        <s v="A"/>
      </sharedItems>
    </cacheField>
    <cacheField name="Etat_Civil" numFmtId="0">
      <sharedItems count="2">
        <s v="Marié"/>
        <s v="Celibataire"/>
      </sharedItems>
    </cacheField>
    <cacheField name="Nb_epouse" numFmtId="0">
      <sharedItems containsSemiMixedTypes="0" containsString="0" containsNumber="1" containsInteger="1" minValue="0" maxValue="3"/>
    </cacheField>
    <cacheField name="Nb_enfant" numFmtId="0">
      <sharedItems containsSemiMixedTypes="0" containsString="0" containsNumber="1" containsInteger="1" minValue="0" maxValue="8"/>
    </cacheField>
    <cacheField name="Sursalaire" numFmtId="0">
      <sharedItems containsString="0" containsBlank="1" containsNumber="1" containsInteger="1" minValue="9500" maxValue="15000"/>
    </cacheField>
    <cacheField name="H_Supp_15" numFmtId="0">
      <sharedItems containsString="0" containsBlank="1" containsNumber="1" containsInteger="1" minValue="8" maxValue="8"/>
    </cacheField>
    <cacheField name="H_Supp_40" numFmtId="0">
      <sharedItems containsString="0" containsBlank="1" containsNumber="1" containsInteger="1" minValue="2" maxValue="5"/>
    </cacheField>
    <cacheField name="H_Supp_60" numFmtId="0">
      <sharedItems containsString="0" containsBlank="1" containsNumber="1" containsInteger="1" minValue="2" maxValue="6"/>
    </cacheField>
    <cacheField name="H_Supp_100" numFmtId="0">
      <sharedItems containsString="0" containsBlank="1" containsNumber="1" containsInteger="1" minValue="2" maxValue="8"/>
    </cacheField>
    <cacheField name="Prime" numFmtId="0">
      <sharedItems containsString="0" containsBlank="1" containsNumber="1" containsInteger="1" minValue="5000" maxValue="15000"/>
    </cacheField>
    <cacheField name="Avantage" numFmtId="0">
      <sharedItems containsString="0" containsBlank="1" containsNumber="1" containsInteger="1" minValue="10000" maxValue="65000"/>
    </cacheField>
    <cacheField name="Indemnite" numFmtId="0">
      <sharedItems containsString="0" containsBlank="1" containsNumber="1" containsInteger="1" minValue="12500" maxValue="25000"/>
    </cacheField>
    <cacheField name="IPM" numFmtId="0">
      <sharedItems containsString="0" containsBlank="1" containsNumber="1" containsInteger="1" minValue="2500" maxValue="5000"/>
    </cacheField>
    <cacheField name="Avance_Ac" numFmtId="0">
      <sharedItems containsString="0" containsBlank="1" containsNumber="1" containsInteger="1" minValue="10000" maxValue="55000"/>
    </cacheField>
    <cacheField name="Opposition" numFmtId="0">
      <sharedItems containsString="0" containsBlank="1" containsNumber="1" containsInteger="1" minValue="15000" maxValue="30000"/>
    </cacheField>
    <cacheField name="Prime Non Imposable" numFmtId="0">
      <sharedItems containsNonDate="0" containsString="0" containsBlank="1"/>
    </cacheField>
    <cacheField name="Age" numFmtId="0">
      <sharedItems containsSemiMixedTypes="0" containsString="0" containsNumber="1" containsInteger="1" minValue="34" maxValue="45" count="12">
        <n v="36"/>
        <n v="44"/>
        <n v="37"/>
        <n v="40"/>
        <n v="38"/>
        <n v="39"/>
        <n v="42"/>
        <n v="34"/>
        <n v="43"/>
        <n v="35"/>
        <n v="45"/>
        <n v="41"/>
      </sharedItems>
    </cacheField>
    <cacheField name="Salaire de Base" numFmtId="0">
      <sharedItems/>
    </cacheField>
    <cacheField name="SBS" numFmtId="0">
      <sharedItems/>
    </cacheField>
    <cacheField name="IPRES" numFmtId="0">
      <sharedItems count="3">
        <e v="#NAME?"/>
        <s v="RC" u="1"/>
        <s v="RG" u="1"/>
      </sharedItems>
    </cacheField>
  </cacheFields>
  <extLst>
    <ext xmlns:x14="http://schemas.microsoft.com/office/spreadsheetml/2009/9/main" uri="{725AE2AE-9491-48be-B2B4-4EB974FC3084}">
      <x14:pivotCacheDefinition pivotCacheId="2102840524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ALLAH" refreshedDate="44014.007421759263" createdVersion="6" refreshedVersion="6" minRefreshableVersion="3" recordCount="51" xr:uid="{8C4D7138-552E-4881-B6E9-A3806DE66DC3}">
  <cacheSource type="worksheet">
    <worksheetSource ref="AA1:AA1048576" sheet="base"/>
  </cacheSource>
  <cacheFields count="1">
    <cacheField name="IPRES" numFmtId="0">
      <sharedItems containsBlank="1" count="3">
        <s v="RC"/>
        <s v="RG"/>
        <m/>
      </sharedItems>
    </cacheField>
  </cacheFields>
  <extLst>
    <ext xmlns:x14="http://schemas.microsoft.com/office/spreadsheetml/2009/9/main" uri="{725AE2AE-9491-48be-B2B4-4EB974FC3084}">
      <x14:pivotCacheDefinition pivotCacheId="124074217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s v="1231-BA/B"/>
    <s v="ADAMA"/>
    <s v="BA"/>
    <d v="1983-09-09T00:00:00"/>
    <s v="DAKAR"/>
    <x v="0"/>
    <x v="0"/>
    <x v="0"/>
    <n v="1"/>
    <n v="3"/>
    <m/>
    <m/>
    <m/>
    <m/>
    <n v="4"/>
    <m/>
    <m/>
    <n v="17500"/>
    <n v="4500"/>
    <n v="25000"/>
    <m/>
    <m/>
    <x v="0"/>
    <e v="#NAME?"/>
    <e v="#NAME?"/>
    <x v="0"/>
  </r>
  <r>
    <n v="2"/>
    <s v="1232-BAMPASSY/B"/>
    <s v="ALEX"/>
    <s v="BAMPASSY"/>
    <d v="1975-10-26T00:00:00"/>
    <s v="TAMBA"/>
    <x v="0"/>
    <x v="0"/>
    <x v="1"/>
    <n v="0"/>
    <n v="0"/>
    <m/>
    <n v="8"/>
    <n v="4"/>
    <m/>
    <n v="3"/>
    <n v="15000"/>
    <m/>
    <n v="12500"/>
    <m/>
    <m/>
    <m/>
    <m/>
    <x v="1"/>
    <e v="#NAME?"/>
    <e v="#NAME?"/>
    <x v="0"/>
  </r>
  <r>
    <n v="3"/>
    <s v="1233-BEYE/B"/>
    <s v="ALA"/>
    <s v="BEYE"/>
    <d v="1982-10-17T00:00:00"/>
    <s v="GOUDIRY"/>
    <x v="0"/>
    <x v="0"/>
    <x v="0"/>
    <n v="2"/>
    <n v="6"/>
    <m/>
    <m/>
    <m/>
    <n v="6"/>
    <n v="2"/>
    <m/>
    <m/>
    <n v="20000"/>
    <n v="5000"/>
    <m/>
    <m/>
    <m/>
    <x v="2"/>
    <e v="#NAME?"/>
    <e v="#NAME?"/>
    <x v="0"/>
  </r>
  <r>
    <n v="4"/>
    <s v="1234-BOYE/C"/>
    <s v="MEDOUNE"/>
    <s v="BOYE"/>
    <d v="1980-02-22T00:00:00"/>
    <s v="FATICK"/>
    <x v="0"/>
    <x v="1"/>
    <x v="0"/>
    <n v="1"/>
    <n v="1"/>
    <m/>
    <n v="8"/>
    <n v="4"/>
    <m/>
    <m/>
    <n v="10000"/>
    <m/>
    <m/>
    <m/>
    <m/>
    <m/>
    <m/>
    <x v="3"/>
    <e v="#NAME?"/>
    <e v="#NAME?"/>
    <x v="0"/>
  </r>
  <r>
    <n v="5"/>
    <s v="1235-CISSE/C"/>
    <s v="LAHAT"/>
    <s v="CISSE"/>
    <d v="1983-04-17T00:00:00"/>
    <s v="GUEDIAWAYE"/>
    <x v="0"/>
    <x v="1"/>
    <x v="1"/>
    <n v="0"/>
    <n v="1"/>
    <n v="15000"/>
    <n v="8"/>
    <n v="4"/>
    <n v="4"/>
    <n v="2"/>
    <m/>
    <n v="35000"/>
    <m/>
    <n v="3500"/>
    <n v="30000"/>
    <n v="20000"/>
    <m/>
    <x v="2"/>
    <e v="#NAME?"/>
    <e v="#NAME?"/>
    <x v="0"/>
  </r>
  <r>
    <n v="6"/>
    <s v="1236-DEME/C"/>
    <s v="FARY"/>
    <s v="DEME"/>
    <d v="1979-10-10T00:00:00"/>
    <s v="RANEROU"/>
    <x v="0"/>
    <x v="1"/>
    <x v="1"/>
    <n v="0"/>
    <n v="0"/>
    <m/>
    <m/>
    <m/>
    <m/>
    <m/>
    <m/>
    <m/>
    <m/>
    <n v="2500"/>
    <m/>
    <m/>
    <m/>
    <x v="3"/>
    <e v="#NAME?"/>
    <e v="#NAME?"/>
    <x v="0"/>
  </r>
  <r>
    <n v="7"/>
    <s v="4567-DIAGNE/A"/>
    <s v="MBOMBE"/>
    <s v="DIAGNE"/>
    <d v="1982-01-31T00:00:00"/>
    <s v="PIKINE"/>
    <x v="1"/>
    <x v="2"/>
    <x v="0"/>
    <n v="0"/>
    <n v="4"/>
    <m/>
    <m/>
    <m/>
    <m/>
    <m/>
    <n v="10000"/>
    <n v="60000"/>
    <m/>
    <m/>
    <m/>
    <m/>
    <m/>
    <x v="4"/>
    <e v="#NAME?"/>
    <e v="#NAME?"/>
    <x v="0"/>
  </r>
  <r>
    <n v="8"/>
    <s v="4568-DIALLO/A"/>
    <s v="YACINE"/>
    <s v="DIALLO"/>
    <d v="1975-10-17T00:00:00"/>
    <s v="DAKAR"/>
    <x v="1"/>
    <x v="2"/>
    <x v="1"/>
    <n v="3"/>
    <n v="0"/>
    <m/>
    <m/>
    <m/>
    <m/>
    <m/>
    <m/>
    <m/>
    <m/>
    <n v="3000"/>
    <m/>
    <m/>
    <m/>
    <x v="1"/>
    <e v="#NAME?"/>
    <e v="#NAME?"/>
    <x v="0"/>
  </r>
  <r>
    <n v="9"/>
    <s v="1239-DIALLO/A"/>
    <s v="ALIOUNE MBAYE"/>
    <s v="DIALLO"/>
    <d v="1980-09-02T00:00:00"/>
    <s v="PIKINE"/>
    <x v="0"/>
    <x v="2"/>
    <x v="0"/>
    <n v="0"/>
    <n v="8"/>
    <m/>
    <m/>
    <m/>
    <m/>
    <m/>
    <m/>
    <n v="37500"/>
    <m/>
    <n v="3000"/>
    <n v="55000"/>
    <m/>
    <m/>
    <x v="5"/>
    <e v="#NAME?"/>
    <e v="#NAME?"/>
    <x v="0"/>
  </r>
  <r>
    <n v="10"/>
    <s v="12310-DIAME/A"/>
    <s v="KARIM ABDEL"/>
    <s v="DIAME"/>
    <d v="1976-05-08T00:00:00"/>
    <s v="BANJUL"/>
    <x v="0"/>
    <x v="2"/>
    <x v="1"/>
    <n v="0"/>
    <n v="0"/>
    <m/>
    <m/>
    <m/>
    <m/>
    <m/>
    <m/>
    <n v="50000"/>
    <m/>
    <m/>
    <m/>
    <m/>
    <m/>
    <x v="1"/>
    <e v="#NAME?"/>
    <e v="#NAME?"/>
    <x v="0"/>
  </r>
  <r>
    <n v="11"/>
    <s v="45611-DIAO/B"/>
    <s v="AISSATOU SECK"/>
    <s v="DIAO"/>
    <d v="1977-08-26T00:00:00"/>
    <s v="ZIGUINCHOR"/>
    <x v="1"/>
    <x v="0"/>
    <x v="1"/>
    <n v="0"/>
    <n v="0"/>
    <m/>
    <n v="8"/>
    <m/>
    <n v="3"/>
    <n v="2"/>
    <m/>
    <m/>
    <n v="25000"/>
    <n v="3000"/>
    <m/>
    <m/>
    <m/>
    <x v="6"/>
    <e v="#NAME?"/>
    <e v="#NAME?"/>
    <x v="0"/>
  </r>
  <r>
    <n v="12"/>
    <s v="12312-DIATTA/B"/>
    <s v="LEON"/>
    <s v="DIATTA"/>
    <d v="1979-07-19T00:00:00"/>
    <s v="OUSSOUYE"/>
    <x v="0"/>
    <x v="0"/>
    <x v="1"/>
    <n v="0"/>
    <n v="0"/>
    <m/>
    <m/>
    <m/>
    <n v="2"/>
    <m/>
    <m/>
    <m/>
    <m/>
    <m/>
    <n v="17500"/>
    <m/>
    <m/>
    <x v="3"/>
    <e v="#NAME?"/>
    <e v="#NAME?"/>
    <x v="0"/>
  </r>
  <r>
    <n v="13"/>
    <s v="45613-DIAW/B"/>
    <s v="AWA"/>
    <s v="DIAW"/>
    <d v="1982-09-30T00:00:00"/>
    <s v="DIOURBEL"/>
    <x v="1"/>
    <x v="0"/>
    <x v="1"/>
    <n v="0"/>
    <n v="1"/>
    <m/>
    <n v="8"/>
    <n v="5"/>
    <n v="3"/>
    <n v="3"/>
    <m/>
    <m/>
    <n v="17000"/>
    <n v="3000"/>
    <m/>
    <n v="15000"/>
    <m/>
    <x v="2"/>
    <e v="#NAME?"/>
    <e v="#NAME?"/>
    <x v="0"/>
  </r>
  <r>
    <n v="14"/>
    <s v="12314-DIOP/C"/>
    <s v="HABIB"/>
    <s v="DIOP"/>
    <d v="1985-09-17T00:00:00"/>
    <s v="BAMBEY"/>
    <x v="0"/>
    <x v="1"/>
    <x v="1"/>
    <n v="0"/>
    <n v="0"/>
    <m/>
    <m/>
    <m/>
    <m/>
    <m/>
    <m/>
    <m/>
    <m/>
    <n v="2500"/>
    <m/>
    <m/>
    <m/>
    <x v="7"/>
    <e v="#NAME?"/>
    <e v="#NAME?"/>
    <x v="0"/>
  </r>
  <r>
    <n v="15"/>
    <s v="12315-DIOP/C"/>
    <s v="BABACAR"/>
    <s v="DIOP"/>
    <d v="1984-03-19T00:00:00"/>
    <s v="BAMBEY"/>
    <x v="0"/>
    <x v="1"/>
    <x v="1"/>
    <n v="0"/>
    <n v="0"/>
    <m/>
    <m/>
    <n v="5"/>
    <n v="5"/>
    <m/>
    <m/>
    <m/>
    <m/>
    <m/>
    <m/>
    <m/>
    <m/>
    <x v="0"/>
    <e v="#NAME?"/>
    <e v="#NAME?"/>
    <x v="0"/>
  </r>
  <r>
    <n v="16"/>
    <s v="12316-DIOUF/C"/>
    <s v="MODOU"/>
    <s v="DIOUF"/>
    <d v="1978-04-14T00:00:00"/>
    <s v="KAFFRINE"/>
    <x v="0"/>
    <x v="1"/>
    <x v="0"/>
    <n v="1"/>
    <n v="4"/>
    <m/>
    <n v="8"/>
    <m/>
    <m/>
    <n v="6"/>
    <n v="10000"/>
    <m/>
    <m/>
    <m/>
    <m/>
    <m/>
    <m/>
    <x v="6"/>
    <e v="#NAME?"/>
    <e v="#NAME?"/>
    <x v="0"/>
  </r>
  <r>
    <n v="17"/>
    <s v="12317-DIOUF/C"/>
    <s v="HENRY"/>
    <s v="DIOUF"/>
    <d v="1977-01-27T00:00:00"/>
    <s v="LOMPOUL"/>
    <x v="0"/>
    <x v="1"/>
    <x v="0"/>
    <n v="1"/>
    <n v="3"/>
    <m/>
    <m/>
    <n v="2"/>
    <n v="5"/>
    <m/>
    <m/>
    <m/>
    <m/>
    <m/>
    <n v="20000"/>
    <m/>
    <m/>
    <x v="8"/>
    <e v="#NAME?"/>
    <e v="#NAME?"/>
    <x v="0"/>
  </r>
  <r>
    <n v="18"/>
    <s v="12318-DIOUM/A"/>
    <s v="ASSANE"/>
    <s v="DIOUM"/>
    <d v="1982-05-16T00:00:00"/>
    <s v="MBOUR"/>
    <x v="0"/>
    <x v="2"/>
    <x v="0"/>
    <n v="2"/>
    <n v="7"/>
    <m/>
    <m/>
    <m/>
    <m/>
    <m/>
    <n v="10000"/>
    <n v="65000"/>
    <m/>
    <m/>
    <n v="15000"/>
    <m/>
    <m/>
    <x v="4"/>
    <e v="#NAME?"/>
    <e v="#NAME?"/>
    <x v="0"/>
  </r>
  <r>
    <n v="19"/>
    <s v="12319-FALL/C"/>
    <s v="SENGANE"/>
    <s v="FALL"/>
    <d v="1984-10-31T00:00:00"/>
    <s v="JOAL"/>
    <x v="0"/>
    <x v="1"/>
    <x v="0"/>
    <n v="1"/>
    <n v="1"/>
    <m/>
    <m/>
    <m/>
    <m/>
    <n v="8"/>
    <m/>
    <m/>
    <m/>
    <n v="3000"/>
    <m/>
    <m/>
    <m/>
    <x v="9"/>
    <e v="#NAME?"/>
    <e v="#NAME?"/>
    <x v="0"/>
  </r>
  <r>
    <n v="20"/>
    <s v="12320-FALL/B"/>
    <s v="LAMINE"/>
    <s v="FALL"/>
    <d v="1977-11-28T00:00:00"/>
    <s v="YOFF"/>
    <x v="0"/>
    <x v="0"/>
    <x v="0"/>
    <n v="1"/>
    <n v="3"/>
    <n v="13500"/>
    <n v="8"/>
    <n v="3"/>
    <m/>
    <m/>
    <m/>
    <m/>
    <m/>
    <n v="2500"/>
    <m/>
    <m/>
    <m/>
    <x v="6"/>
    <e v="#NAME?"/>
    <e v="#NAME?"/>
    <x v="0"/>
  </r>
  <r>
    <n v="21"/>
    <s v="12321-FAYE/B"/>
    <s v="MOUHAMED"/>
    <s v="FAYE"/>
    <d v="1979-10-03T00:00:00"/>
    <s v="RUFISQUE"/>
    <x v="0"/>
    <x v="0"/>
    <x v="0"/>
    <n v="2"/>
    <n v="4"/>
    <m/>
    <n v="8"/>
    <n v="4"/>
    <n v="4"/>
    <n v="6"/>
    <m/>
    <m/>
    <n v="20000"/>
    <m/>
    <m/>
    <m/>
    <m/>
    <x v="3"/>
    <e v="#NAME?"/>
    <e v="#NAME?"/>
    <x v="0"/>
  </r>
  <r>
    <n v="22"/>
    <s v="45622-FAYE/B"/>
    <s v="NDIAYA"/>
    <s v="FAYE"/>
    <d v="1982-08-11T00:00:00"/>
    <s v="SAINT LOUIS"/>
    <x v="1"/>
    <x v="0"/>
    <x v="0"/>
    <n v="0"/>
    <n v="3"/>
    <m/>
    <m/>
    <m/>
    <m/>
    <m/>
    <n v="10000"/>
    <m/>
    <m/>
    <m/>
    <m/>
    <m/>
    <m/>
    <x v="2"/>
    <e v="#NAME?"/>
    <e v="#NAME?"/>
    <x v="0"/>
  </r>
  <r>
    <n v="23"/>
    <s v="12323-GNING/C"/>
    <s v="DAME"/>
    <s v="GNING"/>
    <d v="1975-05-04T00:00:00"/>
    <s v="TOUBA"/>
    <x v="0"/>
    <x v="1"/>
    <x v="0"/>
    <n v="2"/>
    <n v="5"/>
    <m/>
    <m/>
    <m/>
    <n v="3"/>
    <n v="6"/>
    <m/>
    <n v="50000"/>
    <m/>
    <m/>
    <m/>
    <m/>
    <m/>
    <x v="10"/>
    <e v="#NAME?"/>
    <e v="#NAME?"/>
    <x v="0"/>
  </r>
  <r>
    <n v="24"/>
    <s v="12324-GUEYE/C"/>
    <s v="BOUBA"/>
    <s v="GUEYE"/>
    <d v="1979-10-27T00:00:00"/>
    <s v="SEDHIOU"/>
    <x v="0"/>
    <x v="1"/>
    <x v="0"/>
    <n v="1"/>
    <n v="0"/>
    <m/>
    <n v="8"/>
    <n v="5"/>
    <n v="2"/>
    <m/>
    <n v="10000"/>
    <m/>
    <m/>
    <n v="2500"/>
    <m/>
    <m/>
    <m/>
    <x v="3"/>
    <e v="#NAME?"/>
    <e v="#NAME?"/>
    <x v="0"/>
  </r>
  <r>
    <n v="25"/>
    <s v="45625-GUEYE/C"/>
    <s v="KINE"/>
    <s v="GUEYE"/>
    <d v="1978-04-02T00:00:00"/>
    <s v="AERE LAO"/>
    <x v="1"/>
    <x v="1"/>
    <x v="1"/>
    <n v="0"/>
    <n v="0"/>
    <m/>
    <m/>
    <n v="4"/>
    <m/>
    <n v="5"/>
    <m/>
    <m/>
    <m/>
    <n v="3000"/>
    <n v="30000"/>
    <m/>
    <m/>
    <x v="6"/>
    <e v="#NAME?"/>
    <e v="#NAME?"/>
    <x v="0"/>
  </r>
  <r>
    <n v="26"/>
    <s v="12326-KANDJI/C"/>
    <s v="MADIOP"/>
    <s v="KANDJI"/>
    <d v="1985-07-27T00:00:00"/>
    <s v="KEDOUGOU"/>
    <x v="0"/>
    <x v="1"/>
    <x v="1"/>
    <n v="0"/>
    <n v="0"/>
    <n v="12000"/>
    <n v="8"/>
    <n v="4"/>
    <n v="5"/>
    <n v="7"/>
    <m/>
    <m/>
    <m/>
    <m/>
    <m/>
    <m/>
    <m/>
    <x v="7"/>
    <e v="#NAME?"/>
    <e v="#NAME?"/>
    <x v="0"/>
  </r>
  <r>
    <n v="27"/>
    <s v="12327-KARE/A"/>
    <s v="MODOU"/>
    <s v="KARE"/>
    <d v="1985-11-18T00:00:00"/>
    <s v="BAKEL"/>
    <x v="0"/>
    <x v="2"/>
    <x v="1"/>
    <n v="0"/>
    <n v="0"/>
    <m/>
    <m/>
    <m/>
    <m/>
    <m/>
    <m/>
    <n v="15000"/>
    <m/>
    <n v="3000"/>
    <m/>
    <m/>
    <m/>
    <x v="7"/>
    <e v="#NAME?"/>
    <e v="#NAME?"/>
    <x v="0"/>
  </r>
  <r>
    <n v="28"/>
    <s v="12328-KEBE/B"/>
    <s v="THOMAS"/>
    <s v="KEBE"/>
    <d v="1981-11-11T00:00:00"/>
    <s v="LOUGA"/>
    <x v="0"/>
    <x v="0"/>
    <x v="1"/>
    <n v="0"/>
    <n v="0"/>
    <m/>
    <n v="8"/>
    <n v="2"/>
    <m/>
    <n v="5"/>
    <m/>
    <m/>
    <m/>
    <n v="2500"/>
    <m/>
    <m/>
    <m/>
    <x v="4"/>
    <e v="#NAME?"/>
    <e v="#NAME?"/>
    <x v="0"/>
  </r>
  <r>
    <n v="29"/>
    <s v="45629-LAM/A"/>
    <s v="AMY"/>
    <s v="LAM"/>
    <d v="1985-05-02T00:00:00"/>
    <s v="TIVAOUNE"/>
    <x v="1"/>
    <x v="2"/>
    <x v="0"/>
    <n v="0"/>
    <n v="2"/>
    <m/>
    <m/>
    <m/>
    <m/>
    <m/>
    <n v="10000"/>
    <n v="17500"/>
    <m/>
    <m/>
    <m/>
    <m/>
    <m/>
    <x v="9"/>
    <e v="#NAME?"/>
    <e v="#NAME?"/>
    <x v="0"/>
  </r>
  <r>
    <n v="30"/>
    <s v="12330-LO/A"/>
    <s v="MOUSTAPHA DIOP"/>
    <s v="LO"/>
    <d v="1978-12-21T00:00:00"/>
    <s v="LINGUERE"/>
    <x v="0"/>
    <x v="2"/>
    <x v="0"/>
    <n v="3"/>
    <n v="7"/>
    <m/>
    <m/>
    <m/>
    <m/>
    <m/>
    <n v="8000"/>
    <m/>
    <m/>
    <n v="3000"/>
    <n v="12500"/>
    <m/>
    <m/>
    <x v="11"/>
    <e v="#NAME?"/>
    <e v="#NAME?"/>
    <x v="0"/>
  </r>
  <r>
    <n v="31"/>
    <s v="12331-LY/A"/>
    <s v="ABDOULAYE MASSECK"/>
    <s v="LY"/>
    <d v="1977-11-28T00:00:00"/>
    <s v="LAMBAYE"/>
    <x v="0"/>
    <x v="2"/>
    <x v="0"/>
    <n v="1"/>
    <n v="5"/>
    <m/>
    <m/>
    <m/>
    <m/>
    <m/>
    <m/>
    <n v="10000"/>
    <n v="20000"/>
    <m/>
    <m/>
    <m/>
    <m/>
    <x v="6"/>
    <e v="#NAME?"/>
    <e v="#NAME?"/>
    <x v="0"/>
  </r>
  <r>
    <n v="32"/>
    <s v="12332-MBAYE/B"/>
    <s v="ABDOU"/>
    <s v="MBAYE"/>
    <d v="1985-04-03T00:00:00"/>
    <s v="KOLDA"/>
    <x v="0"/>
    <x v="0"/>
    <x v="0"/>
    <n v="1"/>
    <n v="3"/>
    <m/>
    <n v="8"/>
    <m/>
    <m/>
    <n v="3"/>
    <m/>
    <m/>
    <m/>
    <n v="3000"/>
    <m/>
    <m/>
    <m/>
    <x v="9"/>
    <e v="#NAME?"/>
    <e v="#NAME?"/>
    <x v="0"/>
  </r>
  <r>
    <n v="33"/>
    <s v="12333-MBENGUE/B"/>
    <s v="KARIM"/>
    <s v="MBENGUE"/>
    <d v="1977-09-09T00:00:00"/>
    <s v="KAOLACK"/>
    <x v="0"/>
    <x v="0"/>
    <x v="0"/>
    <n v="1"/>
    <n v="4"/>
    <m/>
    <m/>
    <m/>
    <m/>
    <n v="6"/>
    <m/>
    <m/>
    <m/>
    <n v="3000"/>
    <m/>
    <m/>
    <m/>
    <x v="6"/>
    <e v="#NAME?"/>
    <e v="#NAME?"/>
    <x v="0"/>
  </r>
  <r>
    <n v="34"/>
    <s v="45634-NDIAYE/B"/>
    <s v="FATIM"/>
    <s v="NDIAYE"/>
    <d v="1975-05-10T00:00:00"/>
    <s v="VELINGARA"/>
    <x v="1"/>
    <x v="0"/>
    <x v="0"/>
    <n v="0"/>
    <n v="2"/>
    <m/>
    <n v="8"/>
    <m/>
    <m/>
    <m/>
    <m/>
    <n v="14500"/>
    <n v="25000"/>
    <m/>
    <n v="10000"/>
    <m/>
    <m/>
    <x v="10"/>
    <e v="#NAME?"/>
    <e v="#NAME?"/>
    <x v="0"/>
  </r>
  <r>
    <n v="35"/>
    <s v="12335-NGOM/B"/>
    <s v="YOUSSOU"/>
    <s v="NGOM"/>
    <d v="1982-08-16T00:00:00"/>
    <s v="OUAKAM"/>
    <x v="0"/>
    <x v="0"/>
    <x v="0"/>
    <n v="2"/>
    <n v="4"/>
    <m/>
    <m/>
    <m/>
    <m/>
    <n v="2"/>
    <m/>
    <m/>
    <m/>
    <m/>
    <m/>
    <m/>
    <m/>
    <x v="2"/>
    <e v="#NAME?"/>
    <e v="#NAME?"/>
    <x v="0"/>
  </r>
  <r>
    <n v="36"/>
    <s v="12336-PREIRA/B"/>
    <s v="FRANCOIS"/>
    <s v="PREIRA"/>
    <d v="1977-06-20T00:00:00"/>
    <s v="PARIS"/>
    <x v="0"/>
    <x v="0"/>
    <x v="0"/>
    <n v="1"/>
    <n v="6"/>
    <m/>
    <m/>
    <m/>
    <m/>
    <n v="4"/>
    <m/>
    <m/>
    <m/>
    <m/>
    <n v="13000"/>
    <m/>
    <m/>
    <x v="6"/>
    <e v="#NAME?"/>
    <e v="#NAME?"/>
    <x v="0"/>
  </r>
  <r>
    <n v="37"/>
    <s v="12337-SAGNA/C"/>
    <s v="MBAYE"/>
    <s v="SAGNA"/>
    <d v="1978-11-01T00:00:00"/>
    <s v="ZIGUINCHOR"/>
    <x v="0"/>
    <x v="1"/>
    <x v="1"/>
    <n v="0"/>
    <n v="0"/>
    <n v="10000"/>
    <m/>
    <m/>
    <m/>
    <m/>
    <m/>
    <m/>
    <m/>
    <n v="3000"/>
    <m/>
    <m/>
    <m/>
    <x v="11"/>
    <e v="#NAME?"/>
    <e v="#NAME?"/>
    <x v="0"/>
  </r>
  <r>
    <n v="38"/>
    <s v="12338-SAGNA/A"/>
    <s v="FREDERIC"/>
    <s v="SAGNA"/>
    <d v="1976-03-24T00:00:00"/>
    <s v="OUSSOUYE"/>
    <x v="0"/>
    <x v="2"/>
    <x v="1"/>
    <n v="0"/>
    <n v="0"/>
    <m/>
    <m/>
    <m/>
    <m/>
    <m/>
    <n v="10000"/>
    <n v="15000"/>
    <m/>
    <m/>
    <n v="10000"/>
    <m/>
    <m/>
    <x v="1"/>
    <e v="#NAME?"/>
    <e v="#NAME?"/>
    <x v="0"/>
  </r>
  <r>
    <n v="39"/>
    <s v="45639-SAMB/C"/>
    <s v="ALIMATOU"/>
    <s v="SAMB"/>
    <d v="1976-10-19T00:00:00"/>
    <s v="RANEIROU"/>
    <x v="1"/>
    <x v="1"/>
    <x v="1"/>
    <n v="0"/>
    <n v="0"/>
    <m/>
    <m/>
    <m/>
    <m/>
    <m/>
    <m/>
    <m/>
    <m/>
    <m/>
    <m/>
    <m/>
    <m/>
    <x v="8"/>
    <e v="#NAME?"/>
    <e v="#NAME?"/>
    <x v="0"/>
  </r>
  <r>
    <n v="40"/>
    <s v="45640-SAMB/C"/>
    <s v="DIARRY"/>
    <s v="SAMB"/>
    <d v="1981-05-16T00:00:00"/>
    <s v="FATICK"/>
    <x v="0"/>
    <x v="1"/>
    <x v="1"/>
    <n v="0"/>
    <n v="0"/>
    <m/>
    <n v="8"/>
    <n v="5"/>
    <m/>
    <m/>
    <m/>
    <m/>
    <m/>
    <n v="5000"/>
    <m/>
    <m/>
    <m/>
    <x v="5"/>
    <e v="#NAME?"/>
    <e v="#NAME?"/>
    <x v="0"/>
  </r>
  <r>
    <n v="41"/>
    <s v="12341-SARR/A"/>
    <s v="OMAR"/>
    <s v="SARR"/>
    <d v="1977-08-29T00:00:00"/>
    <s v="DAKAR"/>
    <x v="0"/>
    <x v="2"/>
    <x v="1"/>
    <n v="0"/>
    <n v="1"/>
    <m/>
    <m/>
    <m/>
    <m/>
    <m/>
    <m/>
    <n v="55000"/>
    <m/>
    <n v="2500"/>
    <m/>
    <n v="30000"/>
    <m/>
    <x v="6"/>
    <e v="#NAME?"/>
    <e v="#NAME?"/>
    <x v="0"/>
  </r>
  <r>
    <n v="42"/>
    <s v="12342-SECK/C"/>
    <s v="MAURY"/>
    <s v="SECK"/>
    <d v="1977-04-19T00:00:00"/>
    <s v="THIES"/>
    <x v="0"/>
    <x v="1"/>
    <x v="0"/>
    <n v="2"/>
    <n v="5"/>
    <m/>
    <m/>
    <m/>
    <m/>
    <m/>
    <m/>
    <m/>
    <m/>
    <m/>
    <n v="10000"/>
    <m/>
    <m/>
    <x v="8"/>
    <e v="#NAME?"/>
    <e v="#NAME?"/>
    <x v="0"/>
  </r>
  <r>
    <n v="43"/>
    <s v="12343-SENE/C"/>
    <s v="IBRAHIMA "/>
    <s v="SENE"/>
    <d v="1979-06-18T00:00:00"/>
    <s v="MBACKE"/>
    <x v="0"/>
    <x v="1"/>
    <x v="0"/>
    <n v="1"/>
    <n v="1"/>
    <m/>
    <n v="8"/>
    <n v="5"/>
    <m/>
    <n v="3"/>
    <m/>
    <m/>
    <n v="20000"/>
    <m/>
    <m/>
    <m/>
    <m/>
    <x v="3"/>
    <e v="#NAME?"/>
    <e v="#NAME?"/>
    <x v="0"/>
  </r>
  <r>
    <n v="44"/>
    <s v="12344-SEYDI/B"/>
    <s v="MOUSSA"/>
    <s v="SEYDI"/>
    <d v="1976-02-08T00:00:00"/>
    <s v="KOLDA"/>
    <x v="0"/>
    <x v="0"/>
    <x v="0"/>
    <n v="1"/>
    <n v="1"/>
    <m/>
    <m/>
    <m/>
    <m/>
    <n v="2"/>
    <n v="8500"/>
    <m/>
    <m/>
    <n v="2500"/>
    <m/>
    <m/>
    <m/>
    <x v="1"/>
    <e v="#NAME?"/>
    <e v="#NAME?"/>
    <x v="0"/>
  </r>
  <r>
    <n v="45"/>
    <s v="45645-SOW/B"/>
    <s v="KHADY"/>
    <s v="SOW"/>
    <d v="1984-03-23T00:00:00"/>
    <s v="CAS CAS"/>
    <x v="1"/>
    <x v="0"/>
    <x v="0"/>
    <n v="0"/>
    <n v="2"/>
    <n v="15000"/>
    <m/>
    <m/>
    <m/>
    <m/>
    <m/>
    <n v="31500"/>
    <m/>
    <m/>
    <m/>
    <m/>
    <m/>
    <x v="0"/>
    <e v="#NAME?"/>
    <e v="#NAME?"/>
    <x v="0"/>
  </r>
  <r>
    <n v="46"/>
    <s v="12346-SY/B"/>
    <s v="ALPHA"/>
    <s v="SY"/>
    <d v="1984-11-29T00:00:00"/>
    <s v="KAFFRINE"/>
    <x v="0"/>
    <x v="0"/>
    <x v="0"/>
    <n v="1"/>
    <n v="1"/>
    <m/>
    <n v="8"/>
    <n v="5"/>
    <m/>
    <n v="4"/>
    <m/>
    <m/>
    <m/>
    <m/>
    <n v="15000"/>
    <m/>
    <m/>
    <x v="9"/>
    <e v="#NAME?"/>
    <e v="#NAME?"/>
    <x v="0"/>
  </r>
  <r>
    <n v="47"/>
    <s v="12347-TALL/B"/>
    <s v="MOUSTAPHA "/>
    <s v="TALL"/>
    <d v="1976-07-19T00:00:00"/>
    <s v="SAINT LOUIS"/>
    <x v="0"/>
    <x v="0"/>
    <x v="0"/>
    <n v="2"/>
    <n v="5"/>
    <m/>
    <n v="8"/>
    <m/>
    <n v="3"/>
    <m/>
    <m/>
    <n v="25000"/>
    <m/>
    <m/>
    <m/>
    <m/>
    <m/>
    <x v="8"/>
    <e v="#NAME?"/>
    <e v="#NAME?"/>
    <x v="0"/>
  </r>
  <r>
    <n v="48"/>
    <s v="45648-TALL/B"/>
    <s v="NDEYE"/>
    <s v="TALL"/>
    <d v="1985-07-29T00:00:00"/>
    <s v="BAKEL"/>
    <x v="1"/>
    <x v="0"/>
    <x v="0"/>
    <n v="0"/>
    <n v="2"/>
    <n v="9500"/>
    <m/>
    <m/>
    <m/>
    <m/>
    <n v="5000"/>
    <m/>
    <n v="25000"/>
    <n v="3000"/>
    <n v="14500"/>
    <m/>
    <m/>
    <x v="7"/>
    <e v="#NAME?"/>
    <e v="#NAME?"/>
    <x v="0"/>
  </r>
  <r>
    <n v="49"/>
    <s v="12349-TAVARESE/B"/>
    <s v="PHILIPPE MODOU"/>
    <s v="TAVARESE"/>
    <d v="1985-04-23T00:00:00"/>
    <s v="DAKAR"/>
    <x v="0"/>
    <x v="0"/>
    <x v="0"/>
    <n v="2"/>
    <n v="5"/>
    <m/>
    <n v="8"/>
    <m/>
    <m/>
    <m/>
    <m/>
    <m/>
    <m/>
    <m/>
    <m/>
    <m/>
    <m/>
    <x v="9"/>
    <e v="#NAME?"/>
    <e v="#NAME?"/>
    <x v="0"/>
  </r>
  <r>
    <n v="50"/>
    <s v="12350-THIAM/B"/>
    <s v="KHADIM"/>
    <s v="THIAM"/>
    <d v="1981-12-21T00:00:00"/>
    <s v="RUFISQUE"/>
    <x v="0"/>
    <x v="0"/>
    <x v="1"/>
    <n v="0"/>
    <n v="0"/>
    <m/>
    <n v="8"/>
    <n v="2"/>
    <n v="3"/>
    <m/>
    <n v="7000"/>
    <m/>
    <m/>
    <n v="3000"/>
    <n v="13500"/>
    <m/>
    <m/>
    <x v="4"/>
    <e v="#NAME?"/>
    <e v="#NAME?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</r>
  <r>
    <x v="0"/>
  </r>
  <r>
    <x v="0"/>
  </r>
  <r>
    <x v="1"/>
  </r>
  <r>
    <x v="1"/>
  </r>
  <r>
    <x v="1"/>
  </r>
  <r>
    <x v="0"/>
  </r>
  <r>
    <x v="0"/>
  </r>
  <r>
    <x v="0"/>
  </r>
  <r>
    <x v="0"/>
  </r>
  <r>
    <x v="0"/>
  </r>
  <r>
    <x v="1"/>
  </r>
  <r>
    <x v="0"/>
  </r>
  <r>
    <x v="1"/>
  </r>
  <r>
    <x v="1"/>
  </r>
  <r>
    <x v="1"/>
  </r>
  <r>
    <x v="1"/>
  </r>
  <r>
    <x v="0"/>
  </r>
  <r>
    <x v="1"/>
  </r>
  <r>
    <x v="0"/>
  </r>
  <r>
    <x v="0"/>
  </r>
  <r>
    <x v="0"/>
  </r>
  <r>
    <x v="1"/>
  </r>
  <r>
    <x v="1"/>
  </r>
  <r>
    <x v="1"/>
  </r>
  <r>
    <x v="1"/>
  </r>
  <r>
    <x v="0"/>
  </r>
  <r>
    <x v="1"/>
  </r>
  <r>
    <x v="0"/>
  </r>
  <r>
    <x v="0"/>
  </r>
  <r>
    <x v="0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1"/>
  </r>
  <r>
    <x v="1"/>
  </r>
  <r>
    <x v="1"/>
  </r>
  <r>
    <x v="0"/>
  </r>
  <r>
    <x v="1"/>
  </r>
  <r>
    <x v="1"/>
  </r>
  <r>
    <x v="0"/>
  </r>
  <r>
    <x v="1"/>
  </r>
  <r>
    <x v="1"/>
  </r>
  <r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E11C0-428F-4889-AA71-0B0BC3073457}" name="Tableau croisé dynamique1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7">
  <location ref="A3:B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Nombre de Sexe " fld="6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666FA-5284-439B-88DC-8826918D5F7F}" name="Tableau croisé dynamique7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showHeaders="0" outline="1" outlineData="1" multipleFieldFilters="0" chartFormat="6" customListSort="0">
  <location ref="A3:B7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axis="axisRow" dataField="1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Catégorie" fld="7" subtotal="count" baseField="0" baseItem="0"/>
  </dataFields>
  <chartFormats count="5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AF6CB-DF96-49CC-B492-1CB12836B76B}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B13:C17" firstHeaderRow="1" firstDataRow="1" firstDataCol="1"/>
  <pivotFields count="1">
    <pivotField axis="axisRow" dataField="1" showAll="0">
      <items count="4">
        <item x="0"/>
        <item x="1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IPRES" fld="0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F16C78-024C-46CB-86FE-6BE0F936ACE9}" name="Tableau croisé dynamique8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>
  <location ref="A3:B5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axis="axisRow" dataField="1" showAll="0" countASubtotal="1">
      <items count="4">
        <item m="1" x="1"/>
        <item m="1" x="2"/>
        <item x="0"/>
        <item t="countA"/>
      </items>
    </pivotField>
  </pivotFields>
  <rowFields count="1">
    <field x="26"/>
  </rowFields>
  <rowItems count="2">
    <i>
      <x v="2"/>
    </i>
    <i t="grand">
      <x/>
    </i>
  </rowItems>
  <colItems count="1">
    <i/>
  </colItems>
  <dataFields count="1">
    <dataField name="Nombre de IPRES" fld="2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0EF18D-5FAA-477D-A839-EDBE8DE8F5EF}" name="Tableau croisé dynamique9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:B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dataField="1" showAll="0">
      <items count="3">
        <item x="1"/>
        <item x="0"/>
        <item t="default"/>
      </items>
    </pivotField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Nombre de Sexe " fld="6" subtotal="count" baseField="8" baseItem="0" numFmtId="49"/>
  </dataFields>
  <chartFormats count="4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F930C9-AD98-47A6-AB8B-A7D929E395C1}" name="Tableau croisé dynamique10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3:B16" firstHeaderRow="1" firstDataRow="1" firstDataCol="1"/>
  <pivotFields count="27">
    <pivotField showAll="0"/>
    <pivotField showAll="0"/>
    <pivotField showAll="0"/>
    <pivotField showAll="0"/>
    <pivotField numFmtId="14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sortType="ascending">
      <items count="13">
        <item x="7"/>
        <item x="9"/>
        <item x="0"/>
        <item x="2"/>
        <item x="4"/>
        <item x="5"/>
        <item x="3"/>
        <item x="11"/>
        <item x="6"/>
        <item x="8"/>
        <item x="1"/>
        <item x="10"/>
        <item t="default"/>
      </items>
    </pivotField>
    <pivotField showAll="0"/>
    <pivotField showAll="0"/>
    <pivotField showAll="0"/>
  </pivotFields>
  <rowFields count="1">
    <field x="2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Nombre de Age" fld="23" subtotal="count" baseField="6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tat_Civil" xr10:uid="{75E1C35D-3F46-4061-9CE7-AACEDEEFC97A}" sourceName="Etat_Civil">
  <pivotTables>
    <pivotTable tabId="16" name="Tableau croisé dynamique9"/>
  </pivotTables>
  <data>
    <tabular pivotCacheId="2102840524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" xr10:uid="{54EC1074-AD5F-42D7-948B-7A94DD6039AC}" sourceName="Age">
  <pivotTables>
    <pivotTable tabId="17" name="Tableau croisé dynamique10"/>
  </pivotTables>
  <data>
    <tabular pivotCacheId="2102840524">
      <items count="12">
        <i x="7" s="1"/>
        <i x="9" s="1"/>
        <i x="0" s="1"/>
        <i x="2" s="1"/>
        <i x="4" s="1"/>
        <i x="5" s="1"/>
        <i x="3" s="1"/>
        <i x="11" s="1"/>
        <i x="6" s="1"/>
        <i x="8" s="1"/>
        <i x="1" s="1"/>
        <i x="1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36875576-F0FB-4334-995C-0FCA1B2BCCCA}" sourceName="Catégorie">
  <pivotTables>
    <pivotTable tabId="14" name="Tableau croisé dynamique7"/>
  </pivotTables>
  <data>
    <tabular pivotCacheId="2102840524">
      <items count="3">
        <i x="2" s="1"/>
        <i x="0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xe" xr10:uid="{B1E84B55-55DC-44F9-8B18-F09B4B00B69F}" sourceName="Sexe ">
  <pivotTables>
    <pivotTable tabId="17" name="Tableau croisé dynamique10"/>
    <pivotTable tabId="14" name="Tableau croisé dynamique7"/>
    <pivotTable tabId="16" name="Tableau croisé dynamique9"/>
    <pivotTable tabId="15" name="Tableau croisé dynamique8"/>
  </pivotTables>
  <data>
    <tabular pivotCacheId="2102840524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xe1" xr10:uid="{273C273E-F8A0-4645-AA96-695EBADEC1C0}" sourceName="Sexe ">
  <pivotTables>
    <pivotTable tabId="12" name="Tableau croisé dynamique1"/>
  </pivotTables>
  <data>
    <tabular pivotCacheId="2102840524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IPRES" xr10:uid="{FADC916A-07B1-41D2-9E81-3618519ED588}" sourceName="IPRES">
  <pivotTables>
    <pivotTable tabId="15" name="Tableau croisé dynamique1"/>
  </pivotTables>
  <data>
    <tabular pivotCacheId="124074217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tat_Civil 1" xr10:uid="{4152D712-B6C6-4AEA-9E82-73583EEA8F8C}" cache="Segment_Etat_Civil" caption="Etat_Civil" rowHeight="241300"/>
  <slicer name="Age 1" xr10:uid="{75972A9E-AAA7-42C4-8795-3335A0BC52D6}" cache="Segment_Age" caption="Age" startItem="4" rowHeight="241300"/>
  <slicer name="Catégorie 1" xr10:uid="{078040F9-C494-42C4-A8C1-71118205A9E6}" cache="Segment_Catégorie" caption="Catégorie" rowHeight="241300"/>
  <slicer name="Sexe  1" xr10:uid="{63668AF0-11E3-48D4-AEB9-B35CFE35A782}" cache="Segment_Sexe1" caption="Sexe " rowHeight="241300"/>
  <slicer name="IPRES" xr10:uid="{86EAB44F-C43C-4826-B986-878ED46FEE18}" cache="Segment_IPRES" caption="IPRE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xe " xr10:uid="{D4B5EAD7-EEC1-4570-84A8-B55F01CF1C7E}" cache="Segment_Sexe" caption="Sexe 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F2FFE26D-56EA-48FA-9A4A-CFDE9C5DFC0E}" cache="Segment_Catégorie" caption="Catégori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tat_Civil" xr10:uid="{9748ECA5-ADE5-4BE2-B764-B3BEDA48F281}" cache="Segment_Etat_Civil" caption="Etat_Civil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" xr10:uid="{7D505FDA-FC08-4E90-AF47-CCB7D4B4245B}" cache="Segment_Age" caption="Age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M51" totalsRowShown="0">
  <autoFilter ref="B1:M51" xr:uid="{00000000-0009-0000-0100-000001000000}"/>
  <tableColumns count="12">
    <tableColumn id="1" xr3:uid="{00000000-0010-0000-0000-000001000000}" name="Employés" dataDxfId="40"/>
    <tableColumn id="2" xr3:uid="{00000000-0010-0000-0000-000002000000}" name="Salaire Brut Social" dataDxfId="39" dataCellStyle="Milliers">
      <calculatedColumnFormula>donnees!#REF!</calculatedColumnFormula>
    </tableColumn>
    <tableColumn id="3" xr3:uid="{00000000-0010-0000-0000-000003000000}" name="Régime Général" dataDxfId="38" dataCellStyle="Milliers">
      <calculatedColumnFormula>donnees!#REF!</calculatedColumnFormula>
    </tableColumn>
    <tableColumn id="4" xr3:uid="{00000000-0010-0000-0000-000004000000}" name="Régime Cadre" dataDxfId="37" dataCellStyle="Milliers">
      <calculatedColumnFormula>donnees!#REF!</calculatedColumnFormula>
    </tableColumn>
    <tableColumn id="5" xr3:uid="{00000000-0010-0000-0000-000005000000}" name="IPM" dataDxfId="36" dataCellStyle="Milliers">
      <calculatedColumnFormula>donnees!#REF!</calculatedColumnFormula>
    </tableColumn>
    <tableColumn id="6" xr3:uid="{00000000-0010-0000-0000-000006000000}" name="TRIMF" dataDxfId="35" dataCellStyle="Milliers">
      <calculatedColumnFormula>donnees!#REF!</calculatedColumnFormula>
    </tableColumn>
    <tableColumn id="7" xr3:uid="{00000000-0010-0000-0000-000007000000}" name="Impôt sur le Revenu" dataDxfId="34" dataCellStyle="Milliers">
      <calculatedColumnFormula>donnees!#REF!</calculatedColumnFormula>
    </tableColumn>
    <tableColumn id="8" xr3:uid="{00000000-0010-0000-0000-000008000000}" name="Avances-Acomptes" dataDxfId="33" dataCellStyle="Milliers">
      <calculatedColumnFormula>donnees!#REF!</calculatedColumnFormula>
    </tableColumn>
    <tableColumn id="9" xr3:uid="{00000000-0010-0000-0000-000009000000}" name="Opposition" dataDxfId="32" dataCellStyle="Milliers">
      <calculatedColumnFormula>donnees!#REF!</calculatedColumnFormula>
    </tableColumn>
    <tableColumn id="10" xr3:uid="{00000000-0010-0000-0000-00000A000000}" name="Retenues" dataDxfId="31" dataCellStyle="Milliers">
      <calculatedColumnFormula>donnees!#REF!</calculatedColumnFormula>
    </tableColumn>
    <tableColumn id="11" xr3:uid="{00000000-0010-0000-0000-00000B000000}" name="Indemnités " dataDxfId="30" dataCellStyle="Milliers">
      <calculatedColumnFormula>donnees!#REF!</calculatedColumnFormula>
    </tableColumn>
    <tableColumn id="12" xr3:uid="{00000000-0010-0000-0000-00000C000000}" name="Salaire net" dataDxfId="29" dataCellStyle="Milliers">
      <calculatedColumnFormula>donnees!#REF!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087842-44A4-437E-84C8-524E98A4835E}" name="Tableau2" displayName="Tableau2" ref="A1:AA51" totalsRowShown="0" headerRowDxfId="28" dataDxfId="27" tableBorderDxfId="26">
  <autoFilter ref="A1:AA51" xr:uid="{40B30713-901F-420F-81F4-053122F13705}"/>
  <tableColumns count="27">
    <tableColumn id="1" xr3:uid="{6B10D475-1D8E-4027-9AF6-8B366678A650}" name="N°" dataDxfId="25"/>
    <tableColumn id="2" xr3:uid="{9F489FF2-01E9-4250-ADF1-89BF7A5296B2}" name="Matricule" dataDxfId="24"/>
    <tableColumn id="3" xr3:uid="{42C942FC-F198-4EE0-BE6A-6D73E1149639}" name="Prenom" dataDxfId="23"/>
    <tableColumn id="4" xr3:uid="{203566FD-45CD-4C82-84DE-B56FA62EA95D}" name="Nom" dataDxfId="22"/>
    <tableColumn id="5" xr3:uid="{02B5A3A3-65A2-4612-BE07-C3EBB9ECD95E}" name="Date Nais" dataDxfId="21"/>
    <tableColumn id="6" xr3:uid="{2EEBDF55-7EEB-42CB-AA2E-650C5D264A98}" name="Lieu Nais" dataDxfId="20"/>
    <tableColumn id="7" xr3:uid="{D4BCAA9B-1E0E-4B78-9BAA-4DD519004ECD}" name="Sexe " dataDxfId="19"/>
    <tableColumn id="8" xr3:uid="{5F77C97F-4072-4994-94B2-33E32C36C875}" name="Catégorie" dataDxfId="18"/>
    <tableColumn id="9" xr3:uid="{E4AC55D2-7E8B-4286-9901-27B88E5A1550}" name="Etat_Civil" dataDxfId="17"/>
    <tableColumn id="10" xr3:uid="{36D58FC2-9D81-4D52-8031-7EF801E852A0}" name="Nb_epouse" dataDxfId="16"/>
    <tableColumn id="11" xr3:uid="{7620F28E-6A3D-4D5A-993E-0A30DEC7AA19}" name="Nb_enfant" dataDxfId="15"/>
    <tableColumn id="12" xr3:uid="{893513F6-A190-42A2-B823-652910A4DC2B}" name="Sursalaire" dataDxfId="14"/>
    <tableColumn id="13" xr3:uid="{FBA7F701-3A0F-4A40-A337-08A5A395B733}" name="H_Supp_15" dataDxfId="13"/>
    <tableColumn id="14" xr3:uid="{B28ECFE3-F6A0-499A-947F-F8B04C8A5A91}" name="H_Supp_40" dataDxfId="12"/>
    <tableColumn id="15" xr3:uid="{E3921741-DC7F-4AD8-9844-176405AE8B12}" name="H_Supp_60" dataDxfId="11"/>
    <tableColumn id="16" xr3:uid="{5F6F3545-9E01-4050-8F2F-E7D32E9CCB6D}" name="H_Supp_100" dataDxfId="10"/>
    <tableColumn id="17" xr3:uid="{E2876CA5-ACB0-4BFE-A199-111C24BF18D8}" name="Prime" dataDxfId="9"/>
    <tableColumn id="18" xr3:uid="{DCDDAD87-8293-45F6-A103-71D4C2E781AA}" name="Avantage" dataDxfId="8"/>
    <tableColumn id="19" xr3:uid="{E3D2C739-793D-4C8D-8B68-7759FEB5D348}" name="Indemnite" dataDxfId="7"/>
    <tableColumn id="20" xr3:uid="{D838FD72-343B-4AB6-80FA-4C5A8C8D8A93}" name="IPM" dataDxfId="6"/>
    <tableColumn id="21" xr3:uid="{1735AD04-FDDA-46BD-86EA-E757060CB5CE}" name="Avance_Ac" dataDxfId="5"/>
    <tableColumn id="22" xr3:uid="{044EC35A-3212-4C8A-91F6-3EE6523F4340}" name="Opposition" dataDxfId="4"/>
    <tableColumn id="23" xr3:uid="{3B2BEDD4-F4BA-43C7-8733-35232DE63B45}" name="Prime Non Imposable"/>
    <tableColumn id="24" xr3:uid="{207ED638-743D-4155-BE83-192B4598243C}" name="Age" dataDxfId="3"/>
    <tableColumn id="25" xr3:uid="{3028EE7D-5345-46E7-9D32-5FB528411BF3}" name="Salaire de Base" dataDxfId="2">
      <calculatedColumnFormula>Salaire_Base(Tableau2[[#This Row],[Catégorie]])</calculatedColumnFormula>
    </tableColumn>
    <tableColumn id="26" xr3:uid="{315F97A4-2EBC-46C3-94FC-C0BB544A9A76}" name="SBS" dataDxfId="1">
      <calculatedColumnFormula>Y2+M2+N2+O2+P2+Q2+S2+L2</calculatedColumnFormula>
    </tableColumn>
    <tableColumn id="27" xr3:uid="{53F7F491-7F4F-4E47-94F5-6B09AB77FF35}" name="IPRES" dataDxfId="0">
      <calculatedColumnFormula>IF(Z2&lt;360000,"RG","RC")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Rouge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M51"/>
  <sheetViews>
    <sheetView topLeftCell="B1" zoomScale="110" zoomScaleNormal="110" workbookViewId="0">
      <selection activeCell="E4" sqref="E4"/>
    </sheetView>
  </sheetViews>
  <sheetFormatPr baseColWidth="10" defaultRowHeight="15" x14ac:dyDescent="0.25"/>
  <cols>
    <col min="2" max="2" width="23.7109375" customWidth="1"/>
    <col min="3" max="3" width="18.42578125" customWidth="1"/>
    <col min="4" max="4" width="15.7109375" customWidth="1"/>
    <col min="5" max="5" width="14.140625" customWidth="1"/>
    <col min="8" max="8" width="19.85546875" customWidth="1"/>
    <col min="9" max="9" width="19.42578125" customWidth="1"/>
    <col min="10" max="10" width="13.140625" customWidth="1"/>
    <col min="12" max="12" width="13.85546875" customWidth="1"/>
    <col min="13" max="13" width="13.28515625" customWidth="1"/>
  </cols>
  <sheetData>
    <row r="1" spans="2:13" x14ac:dyDescent="0.25">
      <c r="B1" s="69" t="s">
        <v>284</v>
      </c>
      <c r="C1" t="s">
        <v>268</v>
      </c>
      <c r="D1" t="s">
        <v>22</v>
      </c>
      <c r="E1" t="s">
        <v>266</v>
      </c>
      <c r="F1" s="69" t="s">
        <v>3</v>
      </c>
      <c r="G1" s="69" t="s">
        <v>4</v>
      </c>
      <c r="H1" t="s">
        <v>265</v>
      </c>
      <c r="I1" t="s">
        <v>285</v>
      </c>
      <c r="J1" t="s">
        <v>6</v>
      </c>
      <c r="K1" t="s">
        <v>7</v>
      </c>
      <c r="L1" t="s">
        <v>8</v>
      </c>
      <c r="M1" t="s">
        <v>9</v>
      </c>
    </row>
    <row r="2" spans="2:13" x14ac:dyDescent="0.25">
      <c r="B2" s="69" t="str">
        <f>donnees!B2</f>
        <v>1231-BA/B</v>
      </c>
      <c r="C2" s="68">
        <f>donnees!Z2</f>
        <v>383787</v>
      </c>
      <c r="D2" s="68">
        <f>donnees!AC2</f>
        <v>20160</v>
      </c>
      <c r="E2" s="68">
        <f>donnees!AD2</f>
        <v>9211</v>
      </c>
      <c r="F2" s="68">
        <f>donnees!T2</f>
        <v>4500</v>
      </c>
      <c r="G2" s="68">
        <f>donnees!AF2</f>
        <v>1800</v>
      </c>
      <c r="H2" s="68">
        <f>donnees!AQ2</f>
        <v>27733</v>
      </c>
      <c r="I2" s="68">
        <f>donnees!U2</f>
        <v>25000</v>
      </c>
      <c r="J2" s="68">
        <f>donnees!V2</f>
        <v>0</v>
      </c>
      <c r="K2" s="68">
        <f>donnees!AR2</f>
        <v>88404</v>
      </c>
      <c r="L2" s="68">
        <f>donnees!S2</f>
        <v>17500</v>
      </c>
      <c r="M2" s="68">
        <f>donnees!AS2</f>
        <v>295383</v>
      </c>
    </row>
    <row r="3" spans="2:13" x14ac:dyDescent="0.25">
      <c r="B3" s="69" t="str">
        <f>donnees!B3</f>
        <v>1232-BAMPASSY/B</v>
      </c>
      <c r="C3" s="68">
        <f>donnees!Z3</f>
        <v>395403</v>
      </c>
      <c r="D3" s="68">
        <f>donnees!AC3</f>
        <v>20160</v>
      </c>
      <c r="E3" s="68">
        <f>donnees!AD3</f>
        <v>9490</v>
      </c>
      <c r="F3" s="68">
        <f>donnees!T3</f>
        <v>0</v>
      </c>
      <c r="G3" s="68">
        <f>donnees!AF3</f>
        <v>900</v>
      </c>
      <c r="H3" s="68">
        <f>donnees!AQ3</f>
        <v>64667</v>
      </c>
      <c r="I3" s="68">
        <f>donnees!U3</f>
        <v>0</v>
      </c>
      <c r="J3" s="68">
        <f>donnees!V3</f>
        <v>0</v>
      </c>
      <c r="K3" s="68">
        <f>donnees!AR3</f>
        <v>95217</v>
      </c>
      <c r="L3" s="68">
        <f>donnees!S3</f>
        <v>12500</v>
      </c>
      <c r="M3" s="68">
        <f>donnees!AS3</f>
        <v>300186</v>
      </c>
    </row>
    <row r="4" spans="2:13" x14ac:dyDescent="0.25">
      <c r="B4" s="69" t="str">
        <f>donnees!B4</f>
        <v>1233-BEYE/B</v>
      </c>
      <c r="C4" s="68">
        <f>donnees!Z4</f>
        <v>385479</v>
      </c>
      <c r="D4" s="68">
        <f>donnees!AC4</f>
        <v>20160</v>
      </c>
      <c r="E4" s="68">
        <f>donnees!AD4</f>
        <v>9251</v>
      </c>
      <c r="F4" s="68">
        <f>donnees!T4</f>
        <v>5000</v>
      </c>
      <c r="G4" s="68">
        <f>donnees!AF4</f>
        <v>2700</v>
      </c>
      <c r="H4" s="68">
        <f>donnees!AQ4</f>
        <v>3333</v>
      </c>
      <c r="I4" s="68">
        <f>donnees!U4</f>
        <v>0</v>
      </c>
      <c r="J4" s="68">
        <f>donnees!V4</f>
        <v>0</v>
      </c>
      <c r="K4" s="68">
        <f>donnees!AR4</f>
        <v>40444</v>
      </c>
      <c r="L4" s="68">
        <f>donnees!S4</f>
        <v>20000</v>
      </c>
      <c r="M4" s="68">
        <f>donnees!AS4</f>
        <v>345035</v>
      </c>
    </row>
    <row r="5" spans="2:13" x14ac:dyDescent="0.25">
      <c r="B5" s="69" t="str">
        <f>donnees!B5</f>
        <v>1234-BOYE/C</v>
      </c>
      <c r="C5" s="68">
        <f>donnees!Z5</f>
        <v>253940</v>
      </c>
      <c r="D5" s="68">
        <f>donnees!AC5</f>
        <v>14220.64</v>
      </c>
      <c r="E5" s="68">
        <f>donnees!AD5</f>
        <v>0</v>
      </c>
      <c r="F5" s="68">
        <f>donnees!T5</f>
        <v>0</v>
      </c>
      <c r="G5" s="68">
        <f>donnees!AF5</f>
        <v>1800</v>
      </c>
      <c r="H5" s="68">
        <f>donnees!AQ5</f>
        <v>5400</v>
      </c>
      <c r="I5" s="68">
        <f>donnees!U5</f>
        <v>0</v>
      </c>
      <c r="J5" s="68">
        <f>donnees!V5</f>
        <v>0</v>
      </c>
      <c r="K5" s="68">
        <f>donnees!AR5</f>
        <v>21420.639999999999</v>
      </c>
      <c r="L5" s="68">
        <f>donnees!S5</f>
        <v>0</v>
      </c>
      <c r="M5" s="68">
        <f>donnees!AS5</f>
        <v>232519.36</v>
      </c>
    </row>
    <row r="6" spans="2:13" x14ac:dyDescent="0.25">
      <c r="B6" s="69" t="str">
        <f>donnees!B6</f>
        <v>1235-CISSE/C</v>
      </c>
      <c r="C6" s="68">
        <f>donnees!Z6</f>
        <v>267804</v>
      </c>
      <c r="D6" s="68">
        <f>donnees!AC6</f>
        <v>14997.023999999999</v>
      </c>
      <c r="E6" s="68">
        <f>donnees!AD6</f>
        <v>0</v>
      </c>
      <c r="F6" s="68">
        <f>donnees!T6</f>
        <v>3500</v>
      </c>
      <c r="G6" s="68">
        <f>donnees!AF6</f>
        <v>0</v>
      </c>
      <c r="H6" s="68">
        <f>donnees!AQ6</f>
        <v>-21567</v>
      </c>
      <c r="I6" s="68">
        <f>donnees!U6</f>
        <v>30000</v>
      </c>
      <c r="J6" s="68">
        <f>donnees!V6</f>
        <v>20000</v>
      </c>
      <c r="K6" s="68">
        <f>donnees!AR6</f>
        <v>46930.024000000005</v>
      </c>
      <c r="L6" s="68">
        <f>donnees!S6</f>
        <v>0</v>
      </c>
      <c r="M6" s="68">
        <f>donnees!AS6</f>
        <v>220873.976</v>
      </c>
    </row>
    <row r="7" spans="2:13" x14ac:dyDescent="0.25">
      <c r="B7" s="69" t="str">
        <f>donnees!B7</f>
        <v>1236-DEME/C</v>
      </c>
      <c r="C7" s="68">
        <f>donnees!Z7</f>
        <v>240062</v>
      </c>
      <c r="D7" s="68">
        <f>donnees!AC7</f>
        <v>13443.472</v>
      </c>
      <c r="E7" s="68">
        <f>donnees!AD7</f>
        <v>0</v>
      </c>
      <c r="F7" s="68">
        <f>donnees!T7</f>
        <v>2500</v>
      </c>
      <c r="G7" s="68">
        <f>donnees!AF7</f>
        <v>0</v>
      </c>
      <c r="H7" s="68">
        <f>donnees!AQ7</f>
        <v>-39267</v>
      </c>
      <c r="I7" s="68">
        <f>donnees!U7</f>
        <v>0</v>
      </c>
      <c r="J7" s="68">
        <f>donnees!V7</f>
        <v>0</v>
      </c>
      <c r="K7" s="68">
        <f>donnees!AR7</f>
        <v>-23323.527999999998</v>
      </c>
      <c r="L7" s="68">
        <f>donnees!S7</f>
        <v>0</v>
      </c>
      <c r="M7" s="68">
        <f>donnees!AS7</f>
        <v>263385.52799999999</v>
      </c>
    </row>
    <row r="8" spans="2:13" x14ac:dyDescent="0.25">
      <c r="B8" s="69" t="str">
        <f>donnees!B8</f>
        <v>4567-DIAGNE/A</v>
      </c>
      <c r="C8" s="68">
        <f>donnees!Z8</f>
        <v>479898</v>
      </c>
      <c r="D8" s="68">
        <f>donnees!AC8</f>
        <v>20160</v>
      </c>
      <c r="E8" s="68">
        <f>donnees!AD8</f>
        <v>11518</v>
      </c>
      <c r="F8" s="68">
        <f>donnees!T8</f>
        <v>0</v>
      </c>
      <c r="G8" s="68">
        <f>donnees!AF8</f>
        <v>900</v>
      </c>
      <c r="H8" s="68">
        <f>donnees!AQ8</f>
        <v>81067</v>
      </c>
      <c r="I8" s="68">
        <f>donnees!U8</f>
        <v>0</v>
      </c>
      <c r="J8" s="68">
        <f>donnees!V8</f>
        <v>0</v>
      </c>
      <c r="K8" s="68">
        <f>donnees!AR8</f>
        <v>113645</v>
      </c>
      <c r="L8" s="68">
        <f>donnees!S8</f>
        <v>0</v>
      </c>
      <c r="M8" s="68">
        <f>donnees!AS8</f>
        <v>366253</v>
      </c>
    </row>
    <row r="9" spans="2:13" x14ac:dyDescent="0.25">
      <c r="B9" s="69" t="str">
        <f>donnees!B9</f>
        <v>4568-DIALLO/A</v>
      </c>
      <c r="C9" s="68">
        <f>donnees!Z9</f>
        <v>469898</v>
      </c>
      <c r="D9" s="68">
        <f>donnees!AC9</f>
        <v>20160</v>
      </c>
      <c r="E9" s="68">
        <f>donnees!AD9</f>
        <v>11278</v>
      </c>
      <c r="F9" s="68">
        <f>donnees!T9</f>
        <v>3000</v>
      </c>
      <c r="G9" s="68">
        <f>donnees!AF9</f>
        <v>0</v>
      </c>
      <c r="H9" s="68">
        <f>donnees!AQ9</f>
        <v>31567</v>
      </c>
      <c r="I9" s="68">
        <f>donnees!U9</f>
        <v>0</v>
      </c>
      <c r="J9" s="68">
        <f>donnees!V9</f>
        <v>0</v>
      </c>
      <c r="K9" s="68">
        <f>donnees!AR9</f>
        <v>66005</v>
      </c>
      <c r="L9" s="68">
        <f>donnees!S9</f>
        <v>0</v>
      </c>
      <c r="M9" s="68">
        <f>donnees!AS9</f>
        <v>403893</v>
      </c>
    </row>
    <row r="10" spans="2:13" x14ac:dyDescent="0.25">
      <c r="B10" s="69" t="str">
        <f>donnees!B10</f>
        <v>1239-DIALLO/A</v>
      </c>
      <c r="C10" s="68">
        <f>donnees!Z10</f>
        <v>469898</v>
      </c>
      <c r="D10" s="68">
        <f>donnees!AC10</f>
        <v>20160</v>
      </c>
      <c r="E10" s="68">
        <f>donnees!AD10</f>
        <v>11278</v>
      </c>
      <c r="F10" s="68">
        <f>donnees!T10</f>
        <v>3000</v>
      </c>
      <c r="G10" s="68">
        <f>donnees!AF10</f>
        <v>900</v>
      </c>
      <c r="H10" s="68">
        <f>donnees!AQ10</f>
        <v>44867</v>
      </c>
      <c r="I10" s="68">
        <f>donnees!U10</f>
        <v>55000</v>
      </c>
      <c r="J10" s="68">
        <f>donnees!V10</f>
        <v>0</v>
      </c>
      <c r="K10" s="68">
        <f>donnees!AR10</f>
        <v>135205</v>
      </c>
      <c r="L10" s="68">
        <f>donnees!S10</f>
        <v>0</v>
      </c>
      <c r="M10" s="68">
        <f>donnees!AS10</f>
        <v>334693</v>
      </c>
    </row>
    <row r="11" spans="2:13" x14ac:dyDescent="0.25">
      <c r="B11" s="69" t="str">
        <f>donnees!B11</f>
        <v>12310-DIAME/A</v>
      </c>
      <c r="C11" s="68">
        <f>donnees!Z11</f>
        <v>469898</v>
      </c>
      <c r="D11" s="68">
        <f>donnees!AC11</f>
        <v>20160</v>
      </c>
      <c r="E11" s="68">
        <f>donnees!AD11</f>
        <v>11278</v>
      </c>
      <c r="F11" s="68">
        <f>donnees!T11</f>
        <v>0</v>
      </c>
      <c r="G11" s="68">
        <f>donnees!AF11</f>
        <v>0</v>
      </c>
      <c r="H11" s="68">
        <f>donnees!AQ11</f>
        <v>49067</v>
      </c>
      <c r="I11" s="68">
        <f>donnees!U11</f>
        <v>0</v>
      </c>
      <c r="J11" s="68">
        <f>donnees!V11</f>
        <v>0</v>
      </c>
      <c r="K11" s="68">
        <f>donnees!AR11</f>
        <v>80505</v>
      </c>
      <c r="L11" s="68">
        <f>donnees!S11</f>
        <v>0</v>
      </c>
      <c r="M11" s="68">
        <f>donnees!AS11</f>
        <v>389393</v>
      </c>
    </row>
    <row r="12" spans="2:13" x14ac:dyDescent="0.25">
      <c r="B12" s="69" t="str">
        <f>donnees!B12</f>
        <v>45611-DIAO/B</v>
      </c>
      <c r="C12" s="68">
        <f>donnees!Z12</f>
        <v>389267</v>
      </c>
      <c r="D12" s="68">
        <f>donnees!AC12</f>
        <v>20160</v>
      </c>
      <c r="E12" s="68">
        <f>donnees!AD12</f>
        <v>9342</v>
      </c>
      <c r="F12" s="68">
        <f>donnees!T12</f>
        <v>3000</v>
      </c>
      <c r="G12" s="68">
        <f>donnees!AF12</f>
        <v>0</v>
      </c>
      <c r="H12" s="68">
        <f>donnees!AQ12</f>
        <v>4533</v>
      </c>
      <c r="I12" s="68">
        <f>donnees!U12</f>
        <v>0</v>
      </c>
      <c r="J12" s="68">
        <f>donnees!V12</f>
        <v>0</v>
      </c>
      <c r="K12" s="68">
        <f>donnees!AR12</f>
        <v>37035</v>
      </c>
      <c r="L12" s="68">
        <f>donnees!S12</f>
        <v>25000</v>
      </c>
      <c r="M12" s="68">
        <f>donnees!AS12</f>
        <v>352232</v>
      </c>
    </row>
    <row r="13" spans="2:13" x14ac:dyDescent="0.25">
      <c r="B13" s="69" t="str">
        <f>donnees!B13</f>
        <v>12312-DIATTA/B</v>
      </c>
      <c r="C13" s="68">
        <f>donnees!Z13</f>
        <v>352551</v>
      </c>
      <c r="D13" s="68">
        <f>donnees!AC13</f>
        <v>19742.856</v>
      </c>
      <c r="E13" s="68">
        <f>donnees!AD13</f>
        <v>0</v>
      </c>
      <c r="F13" s="68">
        <f>donnees!T13</f>
        <v>0</v>
      </c>
      <c r="G13" s="68">
        <f>donnees!AF13</f>
        <v>0</v>
      </c>
      <c r="H13" s="68">
        <f>donnees!AQ13</f>
        <v>-6567</v>
      </c>
      <c r="I13" s="68">
        <f>donnees!U13</f>
        <v>17500</v>
      </c>
      <c r="J13" s="68">
        <f>donnees!V13</f>
        <v>0</v>
      </c>
      <c r="K13" s="68">
        <f>donnees!AR13</f>
        <v>30675.856</v>
      </c>
      <c r="L13" s="68">
        <f>donnees!S13</f>
        <v>0</v>
      </c>
      <c r="M13" s="68">
        <f>donnees!AS13</f>
        <v>321875.14399999997</v>
      </c>
    </row>
    <row r="14" spans="2:13" x14ac:dyDescent="0.25">
      <c r="B14" s="69" t="str">
        <f>donnees!B14</f>
        <v>45613-DIAW/B</v>
      </c>
      <c r="C14" s="68">
        <f>donnees!Z14</f>
        <v>389347</v>
      </c>
      <c r="D14" s="68">
        <f>donnees!AC14</f>
        <v>20160</v>
      </c>
      <c r="E14" s="68">
        <f>donnees!AD14</f>
        <v>9344</v>
      </c>
      <c r="F14" s="68">
        <f>donnees!T14</f>
        <v>3000</v>
      </c>
      <c r="G14" s="68">
        <f>donnees!AF14</f>
        <v>0</v>
      </c>
      <c r="H14" s="68">
        <f>donnees!AQ14</f>
        <v>4533</v>
      </c>
      <c r="I14" s="68">
        <f>donnees!U14</f>
        <v>0</v>
      </c>
      <c r="J14" s="68">
        <f>donnees!V14</f>
        <v>15000</v>
      </c>
      <c r="K14" s="68">
        <f>donnees!AR14</f>
        <v>52037</v>
      </c>
      <c r="L14" s="68">
        <f>donnees!S14</f>
        <v>17000</v>
      </c>
      <c r="M14" s="68">
        <f>donnees!AS14</f>
        <v>337310</v>
      </c>
    </row>
    <row r="15" spans="2:13" x14ac:dyDescent="0.25">
      <c r="B15" s="69" t="str">
        <f>donnees!B15</f>
        <v>12314-DIOP/C</v>
      </c>
      <c r="C15" s="68">
        <f>donnees!Z15</f>
        <v>240062</v>
      </c>
      <c r="D15" s="68">
        <f>donnees!AC15</f>
        <v>13443.472</v>
      </c>
      <c r="E15" s="68">
        <f>donnees!AD15</f>
        <v>0</v>
      </c>
      <c r="F15" s="68">
        <f>donnees!T15</f>
        <v>2500</v>
      </c>
      <c r="G15" s="68">
        <f>donnees!AF15</f>
        <v>0</v>
      </c>
      <c r="H15" s="68">
        <f>donnees!AQ15</f>
        <v>-39267</v>
      </c>
      <c r="I15" s="68">
        <f>donnees!U15</f>
        <v>0</v>
      </c>
      <c r="J15" s="68">
        <f>donnees!V15</f>
        <v>0</v>
      </c>
      <c r="K15" s="68">
        <f>donnees!AR15</f>
        <v>-23323.527999999998</v>
      </c>
      <c r="L15" s="68">
        <f>donnees!S15</f>
        <v>0</v>
      </c>
      <c r="M15" s="68">
        <f>donnees!AS15</f>
        <v>263385.52799999999</v>
      </c>
    </row>
    <row r="16" spans="2:13" x14ac:dyDescent="0.25">
      <c r="B16" s="69" t="str">
        <f>donnees!B16</f>
        <v>12315-DIOP/C</v>
      </c>
      <c r="C16" s="68">
        <f>donnees!Z16</f>
        <v>246987</v>
      </c>
      <c r="D16" s="68">
        <f>donnees!AC16</f>
        <v>13831.272000000001</v>
      </c>
      <c r="E16" s="68">
        <f>donnees!AD16</f>
        <v>0</v>
      </c>
      <c r="F16" s="68">
        <f>donnees!T16</f>
        <v>0</v>
      </c>
      <c r="G16" s="68">
        <f>donnees!AF16</f>
        <v>0</v>
      </c>
      <c r="H16" s="68">
        <f>donnees!AQ16</f>
        <v>-38007</v>
      </c>
      <c r="I16" s="68">
        <f>donnees!U16</f>
        <v>0</v>
      </c>
      <c r="J16" s="68">
        <f>donnees!V16</f>
        <v>0</v>
      </c>
      <c r="K16" s="68">
        <f>donnees!AR16</f>
        <v>-24175.727999999999</v>
      </c>
      <c r="L16" s="68">
        <f>donnees!S16</f>
        <v>0</v>
      </c>
      <c r="M16" s="68">
        <f>donnees!AS16</f>
        <v>271162.728</v>
      </c>
    </row>
    <row r="17" spans="2:13" x14ac:dyDescent="0.25">
      <c r="B17" s="69" t="str">
        <f>donnees!B17</f>
        <v>12316-DIOUF/C</v>
      </c>
      <c r="C17" s="68">
        <f>donnees!Z17</f>
        <v>268344</v>
      </c>
      <c r="D17" s="68">
        <f>donnees!AC17</f>
        <v>15027.264000000001</v>
      </c>
      <c r="E17" s="68">
        <f>donnees!AD17</f>
        <v>0</v>
      </c>
      <c r="F17" s="68">
        <f>donnees!T17</f>
        <v>0</v>
      </c>
      <c r="G17" s="68">
        <f>donnees!AF17</f>
        <v>1800</v>
      </c>
      <c r="H17" s="68">
        <f>donnees!AQ17</f>
        <v>-15100</v>
      </c>
      <c r="I17" s="68">
        <f>donnees!U17</f>
        <v>0</v>
      </c>
      <c r="J17" s="68">
        <f>donnees!V17</f>
        <v>0</v>
      </c>
      <c r="K17" s="68">
        <f>donnees!AR17</f>
        <v>1727.2640000000029</v>
      </c>
      <c r="L17" s="68">
        <f>donnees!S17</f>
        <v>0</v>
      </c>
      <c r="M17" s="68">
        <f>donnees!AS17</f>
        <v>266616.73599999998</v>
      </c>
    </row>
    <row r="18" spans="2:13" x14ac:dyDescent="0.25">
      <c r="B18" s="69" t="str">
        <f>donnees!B18</f>
        <v>12317-DIOUF/C</v>
      </c>
      <c r="C18" s="68">
        <f>donnees!Z18</f>
        <v>245325</v>
      </c>
      <c r="D18" s="68">
        <f>donnees!AC18</f>
        <v>13738.2</v>
      </c>
      <c r="E18" s="68">
        <f>donnees!AD18</f>
        <v>0</v>
      </c>
      <c r="F18" s="68">
        <f>donnees!T18</f>
        <v>0</v>
      </c>
      <c r="G18" s="68">
        <f>donnees!AF18</f>
        <v>1800</v>
      </c>
      <c r="H18" s="68">
        <f>donnees!AQ18</f>
        <v>-13217</v>
      </c>
      <c r="I18" s="68">
        <f>donnees!U18</f>
        <v>20000</v>
      </c>
      <c r="J18" s="68">
        <f>donnees!V18</f>
        <v>0</v>
      </c>
      <c r="K18" s="68">
        <f>donnees!AR18</f>
        <v>22321.199999999997</v>
      </c>
      <c r="L18" s="68">
        <f>donnees!S18</f>
        <v>0</v>
      </c>
      <c r="M18" s="68">
        <f>donnees!AS18</f>
        <v>223003.8</v>
      </c>
    </row>
    <row r="19" spans="2:13" x14ac:dyDescent="0.25">
      <c r="B19" s="69" t="str">
        <f>donnees!B19</f>
        <v>12318-DIOUM/A</v>
      </c>
      <c r="C19" s="68">
        <f>donnees!Z19</f>
        <v>479898</v>
      </c>
      <c r="D19" s="68">
        <f>donnees!AC19</f>
        <v>20160</v>
      </c>
      <c r="E19" s="68">
        <f>donnees!AD19</f>
        <v>11518</v>
      </c>
      <c r="F19" s="68">
        <f>donnees!T19</f>
        <v>0</v>
      </c>
      <c r="G19" s="68">
        <f>donnees!AF19</f>
        <v>2700</v>
      </c>
      <c r="H19" s="68">
        <f>donnees!AQ19</f>
        <v>57817</v>
      </c>
      <c r="I19" s="68">
        <f>donnees!U19</f>
        <v>15000</v>
      </c>
      <c r="J19" s="68">
        <f>donnees!V19</f>
        <v>0</v>
      </c>
      <c r="K19" s="68">
        <f>donnees!AR19</f>
        <v>107195</v>
      </c>
      <c r="L19" s="68">
        <f>donnees!S19</f>
        <v>0</v>
      </c>
      <c r="M19" s="68">
        <f>donnees!AS19</f>
        <v>372703</v>
      </c>
    </row>
    <row r="20" spans="2:13" x14ac:dyDescent="0.25">
      <c r="B20" s="69" t="str">
        <f>donnees!B20</f>
        <v>12319-FALL/C</v>
      </c>
      <c r="C20" s="68">
        <f>donnees!Z20</f>
        <v>262222</v>
      </c>
      <c r="D20" s="68">
        <f>donnees!AC20</f>
        <v>14684.432000000001</v>
      </c>
      <c r="E20" s="68">
        <f>donnees!AD20</f>
        <v>0</v>
      </c>
      <c r="F20" s="68">
        <f>donnees!T20</f>
        <v>3000</v>
      </c>
      <c r="G20" s="68">
        <f>donnees!AF20</f>
        <v>1800</v>
      </c>
      <c r="H20" s="68">
        <f>donnees!AQ20</f>
        <v>8100</v>
      </c>
      <c r="I20" s="68">
        <f>donnees!U20</f>
        <v>0</v>
      </c>
      <c r="J20" s="68">
        <f>donnees!V20</f>
        <v>0</v>
      </c>
      <c r="K20" s="68">
        <f>donnees!AR20</f>
        <v>27584.432000000001</v>
      </c>
      <c r="L20" s="68">
        <f>donnees!S20</f>
        <v>0</v>
      </c>
      <c r="M20" s="68">
        <f>donnees!AS20</f>
        <v>234637.568</v>
      </c>
    </row>
    <row r="21" spans="2:13" x14ac:dyDescent="0.25">
      <c r="B21" s="69" t="str">
        <f>donnees!B21</f>
        <v>12320-FALL/B</v>
      </c>
      <c r="C21" s="68">
        <f>donnees!Z21</f>
        <v>368475</v>
      </c>
      <c r="D21" s="68">
        <f>donnees!AC21</f>
        <v>20160</v>
      </c>
      <c r="E21" s="68">
        <f>donnees!AD21</f>
        <v>8843</v>
      </c>
      <c r="F21" s="68">
        <f>donnees!T21</f>
        <v>2500</v>
      </c>
      <c r="G21" s="68">
        <f>donnees!AF21</f>
        <v>1800</v>
      </c>
      <c r="H21" s="68">
        <f>donnees!AQ21</f>
        <v>23233</v>
      </c>
      <c r="I21" s="68">
        <f>donnees!U21</f>
        <v>0</v>
      </c>
      <c r="J21" s="68">
        <f>donnees!V21</f>
        <v>0</v>
      </c>
      <c r="K21" s="68">
        <f>donnees!AR21</f>
        <v>56536</v>
      </c>
      <c r="L21" s="68">
        <f>donnees!S21</f>
        <v>0</v>
      </c>
      <c r="M21" s="68">
        <f>donnees!AS21</f>
        <v>311939</v>
      </c>
    </row>
    <row r="22" spans="2:13" x14ac:dyDescent="0.25">
      <c r="B22" s="69" t="str">
        <f>donnees!B22</f>
        <v>12321-FAYE/B</v>
      </c>
      <c r="C22" s="68">
        <f>donnees!Z22</f>
        <v>404871</v>
      </c>
      <c r="D22" s="68">
        <f>donnees!AC22</f>
        <v>20160</v>
      </c>
      <c r="E22" s="68">
        <f>donnees!AD22</f>
        <v>9717</v>
      </c>
      <c r="F22" s="68">
        <f>donnees!T22</f>
        <v>0</v>
      </c>
      <c r="G22" s="68">
        <f>donnees!AF22</f>
        <v>2700</v>
      </c>
      <c r="H22" s="68">
        <f>donnees!AQ22</f>
        <v>17367</v>
      </c>
      <c r="I22" s="68">
        <f>donnees!U22</f>
        <v>0</v>
      </c>
      <c r="J22" s="68">
        <f>donnees!V22</f>
        <v>0</v>
      </c>
      <c r="K22" s="68">
        <f>donnees!AR22</f>
        <v>49944</v>
      </c>
      <c r="L22" s="68">
        <f>donnees!S22</f>
        <v>20000</v>
      </c>
      <c r="M22" s="68">
        <f>donnees!AS22</f>
        <v>354927</v>
      </c>
    </row>
    <row r="23" spans="2:13" x14ac:dyDescent="0.25">
      <c r="B23" s="69" t="str">
        <f>donnees!B23</f>
        <v>45622-FAYE/B</v>
      </c>
      <c r="C23" s="68">
        <f>donnees!Z23</f>
        <v>360127</v>
      </c>
      <c r="D23" s="68">
        <f>donnees!AC23</f>
        <v>20160</v>
      </c>
      <c r="E23" s="68">
        <f>donnees!AD23</f>
        <v>8643</v>
      </c>
      <c r="F23" s="68">
        <f>donnees!T23</f>
        <v>0</v>
      </c>
      <c r="G23" s="68">
        <f>donnees!AF23</f>
        <v>900</v>
      </c>
      <c r="H23" s="68">
        <f>donnees!AQ23</f>
        <v>29167</v>
      </c>
      <c r="I23" s="68">
        <f>donnees!U23</f>
        <v>0</v>
      </c>
      <c r="J23" s="68">
        <f>donnees!V23</f>
        <v>0</v>
      </c>
      <c r="K23" s="68">
        <f>donnees!AR23</f>
        <v>58870</v>
      </c>
      <c r="L23" s="68">
        <f>donnees!S23</f>
        <v>0</v>
      </c>
      <c r="M23" s="68">
        <f>donnees!AS23</f>
        <v>301257</v>
      </c>
    </row>
    <row r="24" spans="2:13" x14ac:dyDescent="0.25">
      <c r="B24" s="69" t="str">
        <f>donnees!B24</f>
        <v>12323-GNING/C</v>
      </c>
      <c r="C24" s="68">
        <f>donnees!Z24</f>
        <v>259175</v>
      </c>
      <c r="D24" s="68">
        <f>donnees!AC24</f>
        <v>14513.800000000001</v>
      </c>
      <c r="E24" s="68">
        <f>donnees!AD24</f>
        <v>0</v>
      </c>
      <c r="F24" s="68">
        <f>donnees!T24</f>
        <v>0</v>
      </c>
      <c r="G24" s="68">
        <f>donnees!AF24</f>
        <v>2700</v>
      </c>
      <c r="H24" s="68">
        <f>donnees!AQ24</f>
        <v>-19467</v>
      </c>
      <c r="I24" s="68">
        <f>donnees!U24</f>
        <v>0</v>
      </c>
      <c r="J24" s="68">
        <f>donnees!V24</f>
        <v>0</v>
      </c>
      <c r="K24" s="68">
        <f>donnees!AR24</f>
        <v>-2253.1999999999971</v>
      </c>
      <c r="L24" s="68">
        <f>donnees!S24</f>
        <v>0</v>
      </c>
      <c r="M24" s="68">
        <f>donnees!AS24</f>
        <v>261428.2</v>
      </c>
    </row>
    <row r="25" spans="2:13" x14ac:dyDescent="0.25">
      <c r="B25" s="69" t="str">
        <f>donnees!B25</f>
        <v>12324-GUEYE/C</v>
      </c>
      <c r="C25" s="68">
        <f>donnees!Z25</f>
        <v>256156</v>
      </c>
      <c r="D25" s="68">
        <f>donnees!AC25</f>
        <v>14344.736000000001</v>
      </c>
      <c r="E25" s="68">
        <f>donnees!AD25</f>
        <v>0</v>
      </c>
      <c r="F25" s="68">
        <f>donnees!T25</f>
        <v>2500</v>
      </c>
      <c r="G25" s="68">
        <f>donnees!AF25</f>
        <v>1800</v>
      </c>
      <c r="H25" s="68">
        <f>donnees!AQ25</f>
        <v>14633</v>
      </c>
      <c r="I25" s="68">
        <f>donnees!U25</f>
        <v>0</v>
      </c>
      <c r="J25" s="68">
        <f>donnees!V25</f>
        <v>0</v>
      </c>
      <c r="K25" s="68">
        <f>donnees!AR25</f>
        <v>33277.736000000004</v>
      </c>
      <c r="L25" s="68">
        <f>donnees!S25</f>
        <v>0</v>
      </c>
      <c r="M25" s="68">
        <f>donnees!AS25</f>
        <v>222878.264</v>
      </c>
    </row>
    <row r="26" spans="2:13" x14ac:dyDescent="0.25">
      <c r="B26" s="69" t="str">
        <f>donnees!B26</f>
        <v>45625-GUEYE/C</v>
      </c>
      <c r="C26" s="68">
        <f>donnees!Z26</f>
        <v>256128</v>
      </c>
      <c r="D26" s="68">
        <f>donnees!AC26</f>
        <v>14343.168</v>
      </c>
      <c r="E26" s="68">
        <f>donnees!AD26</f>
        <v>0</v>
      </c>
      <c r="F26" s="68">
        <f>donnees!T26</f>
        <v>3000</v>
      </c>
      <c r="G26" s="68">
        <f>donnees!AF26</f>
        <v>0</v>
      </c>
      <c r="H26" s="68">
        <f>donnees!AQ26</f>
        <v>-35367</v>
      </c>
      <c r="I26" s="68">
        <f>donnees!U26</f>
        <v>30000</v>
      </c>
      <c r="J26" s="68">
        <f>donnees!V26</f>
        <v>0</v>
      </c>
      <c r="K26" s="68">
        <f>donnees!AR26</f>
        <v>11976.167999999998</v>
      </c>
      <c r="L26" s="68">
        <f>donnees!S26</f>
        <v>0</v>
      </c>
      <c r="M26" s="68">
        <f>donnees!AS26</f>
        <v>244151.83199999999</v>
      </c>
    </row>
    <row r="27" spans="2:13" x14ac:dyDescent="0.25">
      <c r="B27" s="69" t="str">
        <f>donnees!B27</f>
        <v>12326-KANDJI/C</v>
      </c>
      <c r="C27" s="68">
        <f>donnees!Z27</f>
        <v>279485</v>
      </c>
      <c r="D27" s="68">
        <f>donnees!AC27</f>
        <v>15651.16</v>
      </c>
      <c r="E27" s="68">
        <f>donnees!AD27</f>
        <v>0</v>
      </c>
      <c r="F27" s="68">
        <f>donnees!T27</f>
        <v>0</v>
      </c>
      <c r="G27" s="68">
        <f>donnees!AF27</f>
        <v>0</v>
      </c>
      <c r="H27" s="68">
        <f>donnees!AQ27</f>
        <v>-28467</v>
      </c>
      <c r="I27" s="68">
        <f>donnees!U27</f>
        <v>0</v>
      </c>
      <c r="J27" s="68">
        <f>donnees!V27</f>
        <v>0</v>
      </c>
      <c r="K27" s="68">
        <f>donnees!AR27</f>
        <v>-12815.84</v>
      </c>
      <c r="L27" s="68">
        <f>donnees!S27</f>
        <v>0</v>
      </c>
      <c r="M27" s="68">
        <f>donnees!AS27</f>
        <v>292300.84000000003</v>
      </c>
    </row>
    <row r="28" spans="2:13" x14ac:dyDescent="0.25">
      <c r="B28" s="69" t="str">
        <f>donnees!B28</f>
        <v>12327-KARE/A</v>
      </c>
      <c r="C28" s="68">
        <f>donnees!Z28</f>
        <v>469898</v>
      </c>
      <c r="D28" s="68">
        <f>donnees!AC28</f>
        <v>20160</v>
      </c>
      <c r="E28" s="68">
        <f>donnees!AD28</f>
        <v>11278</v>
      </c>
      <c r="F28" s="68">
        <f>donnees!T28</f>
        <v>3000</v>
      </c>
      <c r="G28" s="68">
        <f>donnees!AF28</f>
        <v>0</v>
      </c>
      <c r="H28" s="68">
        <f>donnees!AQ28</f>
        <v>36817</v>
      </c>
      <c r="I28" s="68">
        <f>donnees!U28</f>
        <v>0</v>
      </c>
      <c r="J28" s="68">
        <f>donnees!V28</f>
        <v>0</v>
      </c>
      <c r="K28" s="68">
        <f>donnees!AR28</f>
        <v>71255</v>
      </c>
      <c r="L28" s="68">
        <f>donnees!S28</f>
        <v>0</v>
      </c>
      <c r="M28" s="68">
        <f>donnees!AS28</f>
        <v>398643</v>
      </c>
    </row>
    <row r="29" spans="2:13" x14ac:dyDescent="0.25">
      <c r="B29" s="69" t="str">
        <f>donnees!B29</f>
        <v>12328-KEBE/B</v>
      </c>
      <c r="C29" s="68">
        <f>donnees!Z29</f>
        <v>374367</v>
      </c>
      <c r="D29" s="68">
        <f>donnees!AC29</f>
        <v>20160</v>
      </c>
      <c r="E29" s="68">
        <f>donnees!AD29</f>
        <v>8985</v>
      </c>
      <c r="F29" s="68">
        <f>donnees!T29</f>
        <v>2500</v>
      </c>
      <c r="G29" s="68">
        <f>donnees!AF29</f>
        <v>0</v>
      </c>
      <c r="H29" s="68">
        <f>donnees!AQ29</f>
        <v>33</v>
      </c>
      <c r="I29" s="68">
        <f>donnees!U29</f>
        <v>0</v>
      </c>
      <c r="J29" s="68">
        <f>donnees!V29</f>
        <v>0</v>
      </c>
      <c r="K29" s="68">
        <f>donnees!AR29</f>
        <v>31678</v>
      </c>
      <c r="L29" s="68">
        <f>donnees!S29</f>
        <v>0</v>
      </c>
      <c r="M29" s="68">
        <f>donnees!AS29</f>
        <v>342689</v>
      </c>
    </row>
    <row r="30" spans="2:13" x14ac:dyDescent="0.25">
      <c r="B30" s="69" t="str">
        <f>donnees!B30</f>
        <v>45629-LAM/A</v>
      </c>
      <c r="C30" s="68">
        <f>donnees!Z30</f>
        <v>479898</v>
      </c>
      <c r="D30" s="68">
        <f>donnees!AC30</f>
        <v>20160</v>
      </c>
      <c r="E30" s="68">
        <f>donnees!AD30</f>
        <v>11518</v>
      </c>
      <c r="F30" s="68">
        <f>donnees!T30</f>
        <v>0</v>
      </c>
      <c r="G30" s="68">
        <f>donnees!AF30</f>
        <v>900</v>
      </c>
      <c r="H30" s="68">
        <f>donnees!AQ30</f>
        <v>83033</v>
      </c>
      <c r="I30" s="68">
        <f>donnees!U30</f>
        <v>0</v>
      </c>
      <c r="J30" s="68">
        <f>donnees!V30</f>
        <v>0</v>
      </c>
      <c r="K30" s="68">
        <f>donnees!AR30</f>
        <v>115611</v>
      </c>
      <c r="L30" s="68">
        <f>donnees!S30</f>
        <v>0</v>
      </c>
      <c r="M30" s="68">
        <f>donnees!AS30</f>
        <v>364287</v>
      </c>
    </row>
    <row r="31" spans="2:13" x14ac:dyDescent="0.25">
      <c r="B31" s="69" t="str">
        <f>donnees!B31</f>
        <v>12330-LO/A</v>
      </c>
      <c r="C31" s="68">
        <f>donnees!Z31</f>
        <v>477898</v>
      </c>
      <c r="D31" s="68">
        <f>donnees!AC31</f>
        <v>20160</v>
      </c>
      <c r="E31" s="68">
        <f>donnees!AD31</f>
        <v>11470</v>
      </c>
      <c r="F31" s="68">
        <f>donnees!T31</f>
        <v>3000</v>
      </c>
      <c r="G31" s="68">
        <f>donnees!AF31</f>
        <v>3600</v>
      </c>
      <c r="H31" s="68">
        <f>donnees!AQ31</f>
        <v>34367</v>
      </c>
      <c r="I31" s="68">
        <f>donnees!U31</f>
        <v>12500</v>
      </c>
      <c r="J31" s="68">
        <f>donnees!V31</f>
        <v>0</v>
      </c>
      <c r="K31" s="68">
        <f>donnees!AR31</f>
        <v>85097</v>
      </c>
      <c r="L31" s="68">
        <f>donnees!S31</f>
        <v>0</v>
      </c>
      <c r="M31" s="68">
        <f>donnees!AS31</f>
        <v>392801</v>
      </c>
    </row>
    <row r="32" spans="2:13" x14ac:dyDescent="0.25">
      <c r="B32" s="69" t="str">
        <f>donnees!B32</f>
        <v>12331-LY/A</v>
      </c>
      <c r="C32" s="68">
        <f>donnees!Z32</f>
        <v>489898</v>
      </c>
      <c r="D32" s="68">
        <f>donnees!AC32</f>
        <v>20160</v>
      </c>
      <c r="E32" s="68">
        <f>donnees!AD32</f>
        <v>11758</v>
      </c>
      <c r="F32" s="68">
        <f>donnees!T32</f>
        <v>0</v>
      </c>
      <c r="G32" s="68">
        <f>donnees!AF32</f>
        <v>1800</v>
      </c>
      <c r="H32" s="68">
        <f>donnees!AQ32</f>
        <v>50400</v>
      </c>
      <c r="I32" s="68">
        <f>donnees!U32</f>
        <v>0</v>
      </c>
      <c r="J32" s="68">
        <f>donnees!V32</f>
        <v>0</v>
      </c>
      <c r="K32" s="68">
        <f>donnees!AR32</f>
        <v>84118</v>
      </c>
      <c r="L32" s="68">
        <f>donnees!S32</f>
        <v>20000</v>
      </c>
      <c r="M32" s="68">
        <f>donnees!AS32</f>
        <v>405780</v>
      </c>
    </row>
    <row r="33" spans="2:13" x14ac:dyDescent="0.25">
      <c r="B33" s="69" t="str">
        <f>donnees!B33</f>
        <v>12332-MBAYE/B</v>
      </c>
      <c r="C33" s="68">
        <f>donnees!Z33</f>
        <v>364671</v>
      </c>
      <c r="D33" s="68">
        <f>donnees!AC33</f>
        <v>20160</v>
      </c>
      <c r="E33" s="68">
        <f>donnees!AD33</f>
        <v>8752</v>
      </c>
      <c r="F33" s="68">
        <f>donnees!T33</f>
        <v>3000</v>
      </c>
      <c r="G33" s="68">
        <f>donnees!AF33</f>
        <v>1800</v>
      </c>
      <c r="H33" s="68">
        <f>donnees!AQ33</f>
        <v>22033</v>
      </c>
      <c r="I33" s="68">
        <f>donnees!U33</f>
        <v>0</v>
      </c>
      <c r="J33" s="68">
        <f>donnees!V33</f>
        <v>0</v>
      </c>
      <c r="K33" s="68">
        <f>donnees!AR33</f>
        <v>55745</v>
      </c>
      <c r="L33" s="68">
        <f>donnees!S33</f>
        <v>0</v>
      </c>
      <c r="M33" s="68">
        <f>donnees!AS33</f>
        <v>308926</v>
      </c>
    </row>
    <row r="34" spans="2:13" x14ac:dyDescent="0.25">
      <c r="B34" s="69" t="str">
        <f>donnees!B34</f>
        <v>12333-MBENGUE/B</v>
      </c>
      <c r="C34" s="68">
        <f>donnees!Z34</f>
        <v>374367</v>
      </c>
      <c r="D34" s="68">
        <f>donnees!AC34</f>
        <v>20160</v>
      </c>
      <c r="E34" s="68">
        <f>donnees!AD34</f>
        <v>8985</v>
      </c>
      <c r="F34" s="68">
        <f>donnees!T34</f>
        <v>3000</v>
      </c>
      <c r="G34" s="68">
        <f>donnees!AF34</f>
        <v>1800</v>
      </c>
      <c r="H34" s="68">
        <f>donnees!AQ34</f>
        <v>16700</v>
      </c>
      <c r="I34" s="68">
        <f>donnees!U34</f>
        <v>0</v>
      </c>
      <c r="J34" s="68">
        <f>donnees!V34</f>
        <v>0</v>
      </c>
      <c r="K34" s="68">
        <f>donnees!AR34</f>
        <v>50645</v>
      </c>
      <c r="L34" s="68">
        <f>donnees!S34</f>
        <v>0</v>
      </c>
      <c r="M34" s="68">
        <f>donnees!AS34</f>
        <v>323722</v>
      </c>
    </row>
    <row r="35" spans="2:13" x14ac:dyDescent="0.25">
      <c r="B35" s="69" t="str">
        <f>donnees!B35</f>
        <v>45634-NDIAYE/B</v>
      </c>
      <c r="C35" s="68">
        <f>donnees!Z35</f>
        <v>377551</v>
      </c>
      <c r="D35" s="68">
        <f>donnees!AC35</f>
        <v>20160</v>
      </c>
      <c r="E35" s="68">
        <f>donnees!AD35</f>
        <v>9061</v>
      </c>
      <c r="F35" s="68">
        <f>donnees!T35</f>
        <v>0</v>
      </c>
      <c r="G35" s="68">
        <f>donnees!AF35</f>
        <v>900</v>
      </c>
      <c r="H35" s="68">
        <f>donnees!AQ35</f>
        <v>47100</v>
      </c>
      <c r="I35" s="68">
        <f>donnees!U35</f>
        <v>10000</v>
      </c>
      <c r="J35" s="68">
        <f>donnees!V35</f>
        <v>0</v>
      </c>
      <c r="K35" s="68">
        <f>donnees!AR35</f>
        <v>87221</v>
      </c>
      <c r="L35" s="68">
        <f>donnees!S35</f>
        <v>25000</v>
      </c>
      <c r="M35" s="68">
        <f>donnees!AS35</f>
        <v>290330</v>
      </c>
    </row>
    <row r="36" spans="2:13" x14ac:dyDescent="0.25">
      <c r="B36" s="69" t="str">
        <f>donnees!B36</f>
        <v>12335-NGOM/B</v>
      </c>
      <c r="C36" s="68">
        <f>donnees!Z36</f>
        <v>358207</v>
      </c>
      <c r="D36" s="68">
        <f>donnees!AC36</f>
        <v>20059.592000000001</v>
      </c>
      <c r="E36" s="68">
        <f>donnees!AD36</f>
        <v>0</v>
      </c>
      <c r="F36" s="68">
        <f>donnees!T36</f>
        <v>0</v>
      </c>
      <c r="G36" s="68">
        <f>donnees!AF36</f>
        <v>2700</v>
      </c>
      <c r="H36" s="68">
        <f>donnees!AQ36</f>
        <v>3567</v>
      </c>
      <c r="I36" s="68">
        <f>donnees!U36</f>
        <v>0</v>
      </c>
      <c r="J36" s="68">
        <f>donnees!V36</f>
        <v>0</v>
      </c>
      <c r="K36" s="68">
        <f>donnees!AR36</f>
        <v>26326.592000000001</v>
      </c>
      <c r="L36" s="68">
        <f>donnees!S36</f>
        <v>0</v>
      </c>
      <c r="M36" s="68">
        <f>donnees!AS36</f>
        <v>331880.408</v>
      </c>
    </row>
    <row r="37" spans="2:13" x14ac:dyDescent="0.25">
      <c r="B37" s="69" t="str">
        <f>donnees!B37</f>
        <v>12336-PREIRA/B</v>
      </c>
      <c r="C37" s="68">
        <f>donnees!Z37</f>
        <v>366287</v>
      </c>
      <c r="D37" s="68">
        <f>donnees!AC37</f>
        <v>20160</v>
      </c>
      <c r="E37" s="68">
        <f>donnees!AD37</f>
        <v>8791</v>
      </c>
      <c r="F37" s="68">
        <f>donnees!T37</f>
        <v>0</v>
      </c>
      <c r="G37" s="68">
        <f>donnees!AF37</f>
        <v>1800</v>
      </c>
      <c r="H37" s="68">
        <f>donnees!AQ37</f>
        <v>-2367</v>
      </c>
      <c r="I37" s="68">
        <f>donnees!U37</f>
        <v>13000</v>
      </c>
      <c r="J37" s="68">
        <f>donnees!V37</f>
        <v>0</v>
      </c>
      <c r="K37" s="68">
        <f>donnees!AR37</f>
        <v>41384</v>
      </c>
      <c r="L37" s="68">
        <f>donnees!S37</f>
        <v>0</v>
      </c>
      <c r="M37" s="68">
        <f>donnees!AS37</f>
        <v>324903</v>
      </c>
    </row>
    <row r="38" spans="2:13" x14ac:dyDescent="0.25">
      <c r="B38" s="69" t="str">
        <f>donnees!B38</f>
        <v>12337-SAGNA/C</v>
      </c>
      <c r="C38" s="68">
        <f>donnees!Z38</f>
        <v>250062</v>
      </c>
      <c r="D38" s="68">
        <f>donnees!AC38</f>
        <v>14003.472</v>
      </c>
      <c r="E38" s="68">
        <f>donnees!AD38</f>
        <v>0</v>
      </c>
      <c r="F38" s="68">
        <f>donnees!T38</f>
        <v>3000</v>
      </c>
      <c r="G38" s="68">
        <f>donnees!AF38</f>
        <v>0</v>
      </c>
      <c r="H38" s="68">
        <f>donnees!AQ38</f>
        <v>-37167</v>
      </c>
      <c r="I38" s="68">
        <f>donnees!U38</f>
        <v>0</v>
      </c>
      <c r="J38" s="68">
        <f>donnees!V38</f>
        <v>0</v>
      </c>
      <c r="K38" s="68">
        <f>donnees!AR38</f>
        <v>-20163.527999999998</v>
      </c>
      <c r="L38" s="68">
        <f>donnees!S38</f>
        <v>0</v>
      </c>
      <c r="M38" s="68">
        <f>donnees!AS38</f>
        <v>270225.52799999999</v>
      </c>
    </row>
    <row r="39" spans="2:13" x14ac:dyDescent="0.25">
      <c r="B39" s="69" t="str">
        <f>donnees!B39</f>
        <v>12338-SAGNA/A</v>
      </c>
      <c r="C39" s="68">
        <f>donnees!Z39</f>
        <v>479898</v>
      </c>
      <c r="D39" s="68">
        <f>donnees!AC39</f>
        <v>20160</v>
      </c>
      <c r="E39" s="68">
        <f>donnees!AD39</f>
        <v>11518</v>
      </c>
      <c r="F39" s="68">
        <f>donnees!T39</f>
        <v>0</v>
      </c>
      <c r="G39" s="68">
        <f>donnees!AF39</f>
        <v>0</v>
      </c>
      <c r="H39" s="68">
        <f>donnees!AQ39</f>
        <v>40317</v>
      </c>
      <c r="I39" s="68">
        <f>donnees!U39</f>
        <v>10000</v>
      </c>
      <c r="J39" s="68">
        <f>donnees!V39</f>
        <v>0</v>
      </c>
      <c r="K39" s="68">
        <f>donnees!AR39</f>
        <v>81995</v>
      </c>
      <c r="L39" s="68">
        <f>donnees!S39</f>
        <v>0</v>
      </c>
      <c r="M39" s="68">
        <f>donnees!AS39</f>
        <v>397903</v>
      </c>
    </row>
    <row r="40" spans="2:13" x14ac:dyDescent="0.25">
      <c r="B40" s="69" t="str">
        <f>donnees!B40</f>
        <v>45639-SAMB/C</v>
      </c>
      <c r="C40" s="68">
        <f>donnees!Z40</f>
        <v>240062</v>
      </c>
      <c r="D40" s="68">
        <f>donnees!AC40</f>
        <v>13443.472</v>
      </c>
      <c r="E40" s="68">
        <f>donnees!AD40</f>
        <v>0</v>
      </c>
      <c r="F40" s="68">
        <f>donnees!T40</f>
        <v>0</v>
      </c>
      <c r="G40" s="68">
        <f>donnees!AF40</f>
        <v>0</v>
      </c>
      <c r="H40" s="68">
        <f>donnees!AQ40</f>
        <v>-39267</v>
      </c>
      <c r="I40" s="68">
        <f>donnees!U40</f>
        <v>0</v>
      </c>
      <c r="J40" s="68">
        <f>donnees!V40</f>
        <v>0</v>
      </c>
      <c r="K40" s="68">
        <f>donnees!AR40</f>
        <v>-25823.527999999998</v>
      </c>
      <c r="L40" s="68">
        <f>donnees!S40</f>
        <v>0</v>
      </c>
      <c r="M40" s="68">
        <f>donnees!AS40</f>
        <v>265885.52799999999</v>
      </c>
    </row>
    <row r="41" spans="2:13" x14ac:dyDescent="0.25">
      <c r="B41" s="69" t="str">
        <f>donnees!B41</f>
        <v>45640-SAMB/C</v>
      </c>
      <c r="C41" s="68">
        <f>donnees!Z41</f>
        <v>244494</v>
      </c>
      <c r="D41" s="68">
        <f>donnees!AC41</f>
        <v>13691.664000000001</v>
      </c>
      <c r="E41" s="68">
        <f>donnees!AD41</f>
        <v>0</v>
      </c>
      <c r="F41" s="68">
        <f>donnees!T41</f>
        <v>5000</v>
      </c>
      <c r="G41" s="68">
        <f>donnees!AF41</f>
        <v>0</v>
      </c>
      <c r="H41" s="68">
        <f>donnees!AQ41</f>
        <v>-38427</v>
      </c>
      <c r="I41" s="68">
        <f>donnees!U41</f>
        <v>0</v>
      </c>
      <c r="J41" s="68">
        <f>donnees!V41</f>
        <v>0</v>
      </c>
      <c r="K41" s="68">
        <f>donnees!AR41</f>
        <v>-19735.335999999999</v>
      </c>
      <c r="L41" s="68">
        <f>donnees!S41</f>
        <v>0</v>
      </c>
      <c r="M41" s="68">
        <f>donnees!AS41</f>
        <v>264229.33600000001</v>
      </c>
    </row>
    <row r="42" spans="2:13" x14ac:dyDescent="0.25">
      <c r="B42" s="69" t="str">
        <f>donnees!B42</f>
        <v>12341-SARR/A</v>
      </c>
      <c r="C42" s="68">
        <f>donnees!Z42</f>
        <v>469898</v>
      </c>
      <c r="D42" s="68">
        <f>donnees!AC42</f>
        <v>20160</v>
      </c>
      <c r="E42" s="68">
        <f>donnees!AD42</f>
        <v>11278</v>
      </c>
      <c r="F42" s="68">
        <f>donnees!T42</f>
        <v>2500</v>
      </c>
      <c r="G42" s="68">
        <f>donnees!AF42</f>
        <v>0</v>
      </c>
      <c r="H42" s="68">
        <f>donnees!AQ42</f>
        <v>50817</v>
      </c>
      <c r="I42" s="68">
        <f>donnees!U42</f>
        <v>0</v>
      </c>
      <c r="J42" s="68">
        <f>donnees!V42</f>
        <v>30000</v>
      </c>
      <c r="K42" s="68">
        <f>donnees!AR42</f>
        <v>114755</v>
      </c>
      <c r="L42" s="68">
        <f>donnees!S42</f>
        <v>0</v>
      </c>
      <c r="M42" s="68">
        <f>donnees!AS42</f>
        <v>355143</v>
      </c>
    </row>
    <row r="43" spans="2:13" x14ac:dyDescent="0.25">
      <c r="B43" s="69" t="str">
        <f>donnees!B43</f>
        <v>12342-SECK/C</v>
      </c>
      <c r="C43" s="68">
        <f>donnees!Z43</f>
        <v>240062</v>
      </c>
      <c r="D43" s="68">
        <f>donnees!AC43</f>
        <v>13443.472</v>
      </c>
      <c r="E43" s="68">
        <f>donnees!AD43</f>
        <v>0</v>
      </c>
      <c r="F43" s="68">
        <f>donnees!T43</f>
        <v>0</v>
      </c>
      <c r="G43" s="68">
        <f>donnees!AF43</f>
        <v>2700</v>
      </c>
      <c r="H43" s="68">
        <f>donnees!AQ43</f>
        <v>-39267</v>
      </c>
      <c r="I43" s="68">
        <f>donnees!U43</f>
        <v>10000</v>
      </c>
      <c r="J43" s="68">
        <f>donnees!V43</f>
        <v>0</v>
      </c>
      <c r="K43" s="68">
        <f>donnees!AR43</f>
        <v>-13123.527999999998</v>
      </c>
      <c r="L43" s="68">
        <f>donnees!S43</f>
        <v>0</v>
      </c>
      <c r="M43" s="68">
        <f>donnees!AS43</f>
        <v>253185.52799999999</v>
      </c>
    </row>
    <row r="44" spans="2:13" x14ac:dyDescent="0.25">
      <c r="B44" s="69" t="str">
        <f>donnees!B44</f>
        <v>12343-SENE/C</v>
      </c>
      <c r="C44" s="68">
        <f>donnees!Z44</f>
        <v>272804</v>
      </c>
      <c r="D44" s="68">
        <f>donnees!AC44</f>
        <v>15277.023999999999</v>
      </c>
      <c r="E44" s="68">
        <f>donnees!AD44</f>
        <v>0</v>
      </c>
      <c r="F44" s="68">
        <f>donnees!T44</f>
        <v>0</v>
      </c>
      <c r="G44" s="68">
        <f>donnees!AF44</f>
        <v>1800</v>
      </c>
      <c r="H44" s="68">
        <f>donnees!AQ44</f>
        <v>11100</v>
      </c>
      <c r="I44" s="68">
        <f>donnees!U44</f>
        <v>0</v>
      </c>
      <c r="J44" s="68">
        <f>donnees!V44</f>
        <v>0</v>
      </c>
      <c r="K44" s="68">
        <f>donnees!AR44</f>
        <v>28177.023999999998</v>
      </c>
      <c r="L44" s="68">
        <f>donnees!S44</f>
        <v>20000</v>
      </c>
      <c r="M44" s="68">
        <f>donnees!AS44</f>
        <v>244626.976</v>
      </c>
    </row>
    <row r="45" spans="2:13" s="35" customFormat="1" x14ac:dyDescent="0.25">
      <c r="B45" s="69" t="str">
        <f>donnees!B45</f>
        <v>12344-SEYDI/B</v>
      </c>
      <c r="C45" s="68">
        <f>donnees!Z45</f>
        <v>366707</v>
      </c>
      <c r="D45" s="68">
        <f>donnees!AC45</f>
        <v>20160</v>
      </c>
      <c r="E45" s="68">
        <f>donnees!AD45</f>
        <v>8801</v>
      </c>
      <c r="F45" s="68">
        <f>donnees!T45</f>
        <v>2500</v>
      </c>
      <c r="G45" s="68">
        <f>donnees!AF45</f>
        <v>1800</v>
      </c>
      <c r="H45" s="68">
        <f>donnees!AQ45</f>
        <v>39300</v>
      </c>
      <c r="I45" s="68">
        <f>donnees!U45</f>
        <v>0</v>
      </c>
      <c r="J45" s="68">
        <f>donnees!V45</f>
        <v>0</v>
      </c>
      <c r="K45" s="68">
        <f>donnees!AR45</f>
        <v>72561</v>
      </c>
      <c r="L45" s="68">
        <f>donnees!S45</f>
        <v>0</v>
      </c>
      <c r="M45" s="68">
        <f>donnees!AS45</f>
        <v>294146</v>
      </c>
    </row>
    <row r="46" spans="2:13" s="35" customFormat="1" x14ac:dyDescent="0.25">
      <c r="B46" s="69" t="str">
        <f>donnees!B46</f>
        <v>45645-SOW/B</v>
      </c>
      <c r="C46" s="68">
        <f>donnees!Z46</f>
        <v>365127</v>
      </c>
      <c r="D46" s="68">
        <f>donnees!AC46</f>
        <v>20160</v>
      </c>
      <c r="E46" s="68">
        <f>donnees!AD46</f>
        <v>8763</v>
      </c>
      <c r="F46" s="68">
        <f>donnees!T46</f>
        <v>0</v>
      </c>
      <c r="G46" s="68">
        <f>donnees!AF46</f>
        <v>900</v>
      </c>
      <c r="H46" s="68">
        <f>donnees!AQ46</f>
        <v>48300</v>
      </c>
      <c r="I46" s="68">
        <f>donnees!U46</f>
        <v>0</v>
      </c>
      <c r="J46" s="68">
        <f>donnees!V46</f>
        <v>0</v>
      </c>
      <c r="K46" s="68">
        <f>donnees!AR46</f>
        <v>78123</v>
      </c>
      <c r="L46" s="68">
        <f>donnees!S46</f>
        <v>0</v>
      </c>
      <c r="M46" s="68">
        <f>donnees!AS46</f>
        <v>287004</v>
      </c>
    </row>
    <row r="47" spans="2:13" x14ac:dyDescent="0.25">
      <c r="B47" s="69" t="str">
        <f>donnees!B47</f>
        <v>12346-SY/B</v>
      </c>
      <c r="C47" s="68">
        <f>donnees!Z47</f>
        <v>372751</v>
      </c>
      <c r="D47" s="68">
        <f>donnees!AC47</f>
        <v>20160</v>
      </c>
      <c r="E47" s="68">
        <f>donnees!AD47</f>
        <v>8946</v>
      </c>
      <c r="F47" s="68">
        <f>donnees!T47</f>
        <v>0</v>
      </c>
      <c r="G47" s="68">
        <f>donnees!AF47</f>
        <v>1800</v>
      </c>
      <c r="H47" s="68">
        <f>donnees!AQ47</f>
        <v>41100</v>
      </c>
      <c r="I47" s="68">
        <f>donnees!U47</f>
        <v>15000</v>
      </c>
      <c r="J47" s="68">
        <f>donnees!V47</f>
        <v>0</v>
      </c>
      <c r="K47" s="68">
        <f>donnees!AR47</f>
        <v>87006</v>
      </c>
      <c r="L47" s="68">
        <f>donnees!S47</f>
        <v>0</v>
      </c>
      <c r="M47" s="68">
        <f>donnees!AS47</f>
        <v>285745</v>
      </c>
    </row>
    <row r="48" spans="2:13" x14ac:dyDescent="0.25">
      <c r="B48" s="69" t="str">
        <f>donnees!B48</f>
        <v>12347-TALL/B</v>
      </c>
      <c r="C48" s="68">
        <f>donnees!Z48</f>
        <v>356187</v>
      </c>
      <c r="D48" s="68">
        <f>donnees!AC48</f>
        <v>19946.472000000002</v>
      </c>
      <c r="E48" s="68">
        <f>donnees!AD48</f>
        <v>0</v>
      </c>
      <c r="F48" s="68">
        <f>donnees!T48</f>
        <v>0</v>
      </c>
      <c r="G48" s="68">
        <f>donnees!AF48</f>
        <v>2700</v>
      </c>
      <c r="H48" s="68">
        <f>donnees!AQ48</f>
        <v>2133</v>
      </c>
      <c r="I48" s="68">
        <f>donnees!U48</f>
        <v>0</v>
      </c>
      <c r="J48" s="68">
        <f>donnees!V48</f>
        <v>0</v>
      </c>
      <c r="K48" s="68">
        <f>donnees!AR48</f>
        <v>24779.472000000002</v>
      </c>
      <c r="L48" s="68">
        <f>donnees!S48</f>
        <v>0</v>
      </c>
      <c r="M48" s="68">
        <f>donnees!AS48</f>
        <v>331407.52799999999</v>
      </c>
    </row>
    <row r="49" spans="2:13" s="35" customFormat="1" x14ac:dyDescent="0.25">
      <c r="B49" s="69" t="str">
        <f>donnees!B49</f>
        <v>45648-TALL/B</v>
      </c>
      <c r="C49" s="68">
        <f>donnees!Z49</f>
        <v>389627</v>
      </c>
      <c r="D49" s="68">
        <f>donnees!AC49</f>
        <v>20160</v>
      </c>
      <c r="E49" s="68">
        <f>donnees!AD49</f>
        <v>9351</v>
      </c>
      <c r="F49" s="68">
        <f>donnees!T49</f>
        <v>3000</v>
      </c>
      <c r="G49" s="68">
        <f>donnees!AF49</f>
        <v>900</v>
      </c>
      <c r="H49" s="68">
        <f>donnees!AQ49</f>
        <v>46200</v>
      </c>
      <c r="I49" s="68">
        <f>donnees!U49</f>
        <v>14500</v>
      </c>
      <c r="J49" s="68">
        <f>donnees!V49</f>
        <v>0</v>
      </c>
      <c r="K49" s="68">
        <f>donnees!AR49</f>
        <v>94111</v>
      </c>
      <c r="L49" s="68">
        <f>donnees!S49</f>
        <v>25000</v>
      </c>
      <c r="M49" s="68">
        <f>donnees!AS49</f>
        <v>295516</v>
      </c>
    </row>
    <row r="50" spans="2:13" x14ac:dyDescent="0.25">
      <c r="B50" s="69" t="str">
        <f>donnees!B50</f>
        <v>12349-TAVARESE/B</v>
      </c>
      <c r="C50" s="68">
        <f>donnees!Z50</f>
        <v>352551</v>
      </c>
      <c r="D50" s="68">
        <f>donnees!AC50</f>
        <v>19742.856</v>
      </c>
      <c r="E50" s="68">
        <f>donnees!AD50</f>
        <v>0</v>
      </c>
      <c r="F50" s="68">
        <f>donnees!T50</f>
        <v>0</v>
      </c>
      <c r="G50" s="68">
        <f>donnees!AF50</f>
        <v>2700</v>
      </c>
      <c r="H50" s="68">
        <f>donnees!AQ50</f>
        <v>-6567</v>
      </c>
      <c r="I50" s="68">
        <f>donnees!U50</f>
        <v>0</v>
      </c>
      <c r="J50" s="68">
        <f>donnees!V50</f>
        <v>0</v>
      </c>
      <c r="K50" s="68">
        <f>donnees!AR50</f>
        <v>15875.856</v>
      </c>
      <c r="L50" s="68">
        <f>donnees!S50</f>
        <v>0</v>
      </c>
      <c r="M50" s="68">
        <f>donnees!AS50</f>
        <v>336675.14399999997</v>
      </c>
    </row>
    <row r="51" spans="2:13" x14ac:dyDescent="0.25">
      <c r="B51" s="69" t="s">
        <v>282</v>
      </c>
      <c r="C51" s="68">
        <f t="shared" ref="C51:M51" si="0">SUM(C2:C50)</f>
        <v>17407759</v>
      </c>
      <c r="D51" s="68">
        <f t="shared" si="0"/>
        <v>886069.51999999979</v>
      </c>
      <c r="E51" s="68">
        <f t="shared" si="0"/>
        <v>279966</v>
      </c>
      <c r="F51" s="68">
        <f t="shared" si="0"/>
        <v>71500</v>
      </c>
      <c r="G51" s="68">
        <f t="shared" si="0"/>
        <v>57600</v>
      </c>
      <c r="H51" s="68">
        <f t="shared" si="0"/>
        <v>621046</v>
      </c>
      <c r="I51" s="68">
        <f t="shared" si="0"/>
        <v>277500</v>
      </c>
      <c r="J51" s="68">
        <f t="shared" si="0"/>
        <v>65000</v>
      </c>
      <c r="K51" s="68">
        <f t="shared" si="0"/>
        <v>2258681.52</v>
      </c>
      <c r="L51" s="68">
        <f t="shared" si="0"/>
        <v>202000</v>
      </c>
      <c r="M51" s="68">
        <f t="shared" si="0"/>
        <v>15149077.480000002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H20"/>
  <sheetViews>
    <sheetView workbookViewId="0">
      <selection activeCell="F8" sqref="F8"/>
    </sheetView>
  </sheetViews>
  <sheetFormatPr baseColWidth="10" defaultRowHeight="15" x14ac:dyDescent="0.25"/>
  <cols>
    <col min="4" max="4" width="7" customWidth="1"/>
    <col min="5" max="5" width="7.140625" customWidth="1"/>
    <col min="6" max="6" width="66.7109375" customWidth="1"/>
  </cols>
  <sheetData>
    <row r="2" spans="2:8" x14ac:dyDescent="0.25">
      <c r="B2" s="1"/>
    </row>
    <row r="3" spans="2:8" x14ac:dyDescent="0.25">
      <c r="B3" s="1"/>
    </row>
    <row r="4" spans="2:8" x14ac:dyDescent="0.25">
      <c r="B4" s="1"/>
    </row>
    <row r="5" spans="2:8" ht="15.75" x14ac:dyDescent="0.25">
      <c r="B5" s="1"/>
      <c r="D5" s="18">
        <v>421</v>
      </c>
      <c r="E5" s="18"/>
      <c r="F5" s="2" t="s">
        <v>11</v>
      </c>
      <c r="G5" s="9">
        <f>livre!I51</f>
        <v>277500</v>
      </c>
      <c r="H5" s="10"/>
    </row>
    <row r="6" spans="2:8" ht="16.5" thickBot="1" x14ac:dyDescent="0.3">
      <c r="D6" s="18"/>
      <c r="E6" s="18">
        <v>521</v>
      </c>
      <c r="F6" s="6" t="s">
        <v>24</v>
      </c>
      <c r="G6" s="15"/>
      <c r="H6" s="15">
        <f>G5</f>
        <v>277500</v>
      </c>
    </row>
    <row r="7" spans="2:8" ht="15.75" x14ac:dyDescent="0.25">
      <c r="D7" s="26">
        <v>661</v>
      </c>
      <c r="E7" s="26"/>
      <c r="F7" s="4" t="s">
        <v>12</v>
      </c>
      <c r="G7" s="13">
        <f>livre!C51</f>
        <v>17407759</v>
      </c>
      <c r="H7" s="13"/>
    </row>
    <row r="8" spans="2:8" ht="15.75" x14ac:dyDescent="0.25">
      <c r="D8" s="20">
        <v>663</v>
      </c>
      <c r="E8" s="20"/>
      <c r="F8" s="5" t="s">
        <v>14</v>
      </c>
      <c r="G8" s="13">
        <f>livre!L51</f>
        <v>202000</v>
      </c>
      <c r="H8" s="14"/>
    </row>
    <row r="9" spans="2:8" ht="16.5" thickBot="1" x14ac:dyDescent="0.3">
      <c r="D9" s="21"/>
      <c r="E9" s="21">
        <v>422</v>
      </c>
      <c r="F9" s="6" t="s">
        <v>13</v>
      </c>
      <c r="G9" s="15"/>
      <c r="H9" s="15">
        <f>SUM(G7,G8)</f>
        <v>17609759</v>
      </c>
    </row>
    <row r="10" spans="2:8" ht="15.75" x14ac:dyDescent="0.25">
      <c r="D10" s="20">
        <v>422</v>
      </c>
      <c r="E10" s="20"/>
      <c r="F10" s="5" t="s">
        <v>15</v>
      </c>
      <c r="G10" s="13">
        <f>livre!K51</f>
        <v>2258681.52</v>
      </c>
      <c r="H10" s="14"/>
    </row>
    <row r="11" spans="2:8" ht="15.75" x14ac:dyDescent="0.25">
      <c r="D11" s="19"/>
      <c r="E11" s="23">
        <v>421</v>
      </c>
      <c r="F11" s="7" t="s">
        <v>16</v>
      </c>
      <c r="G11" s="10"/>
      <c r="H11" s="10">
        <f>G5</f>
        <v>277500</v>
      </c>
    </row>
    <row r="12" spans="2:8" ht="16.5" thickBot="1" x14ac:dyDescent="0.3">
      <c r="D12" s="19"/>
      <c r="E12" s="24">
        <v>4313</v>
      </c>
      <c r="F12" s="7" t="s">
        <v>17</v>
      </c>
      <c r="G12" s="12"/>
      <c r="H12" s="12">
        <f>livre!D51</f>
        <v>886069.51999999979</v>
      </c>
    </row>
    <row r="13" spans="2:8" ht="16.5" thickBot="1" x14ac:dyDescent="0.3">
      <c r="D13" s="22"/>
      <c r="E13" s="27">
        <v>4314</v>
      </c>
      <c r="F13" s="28" t="s">
        <v>18</v>
      </c>
      <c r="G13" s="16"/>
      <c r="H13" s="16">
        <f>livre!E51</f>
        <v>279966</v>
      </c>
    </row>
    <row r="14" spans="2:8" ht="15.75" x14ac:dyDescent="0.25">
      <c r="D14" s="19"/>
      <c r="E14" s="24">
        <v>4331</v>
      </c>
      <c r="F14" s="8" t="s">
        <v>19</v>
      </c>
      <c r="G14" s="12"/>
      <c r="H14" s="12">
        <f>livre!F51</f>
        <v>71500</v>
      </c>
    </row>
    <row r="15" spans="2:8" ht="15.75" x14ac:dyDescent="0.25">
      <c r="D15" s="20"/>
      <c r="E15" s="25">
        <v>447</v>
      </c>
      <c r="F15" s="8" t="s">
        <v>20</v>
      </c>
      <c r="G15" s="14"/>
      <c r="H15" s="14">
        <f>SUM(livre!G51,livre!H51)</f>
        <v>678646</v>
      </c>
    </row>
    <row r="16" spans="2:8" ht="16.5" thickBot="1" x14ac:dyDescent="0.3">
      <c r="D16" s="21"/>
      <c r="E16" s="21">
        <v>4723</v>
      </c>
      <c r="F16" s="6" t="s">
        <v>21</v>
      </c>
      <c r="G16" s="15"/>
      <c r="H16" s="15">
        <f>livre!J51</f>
        <v>65000</v>
      </c>
    </row>
    <row r="17" spans="4:8" ht="15.75" x14ac:dyDescent="0.25">
      <c r="D17" s="20">
        <v>422</v>
      </c>
      <c r="E17" s="25"/>
      <c r="F17" s="5" t="s">
        <v>15</v>
      </c>
      <c r="G17" s="14">
        <f>livre!M51</f>
        <v>15149077.480000002</v>
      </c>
      <c r="H17" s="14"/>
    </row>
    <row r="18" spans="4:8" ht="15.75" x14ac:dyDescent="0.25">
      <c r="D18" s="19">
        <v>423</v>
      </c>
      <c r="E18" s="24"/>
      <c r="F18" s="3" t="s">
        <v>6</v>
      </c>
      <c r="G18" s="11">
        <f>G16</f>
        <v>0</v>
      </c>
      <c r="H18" s="12"/>
    </row>
    <row r="19" spans="4:8" ht="16.5" thickBot="1" x14ac:dyDescent="0.3">
      <c r="D19" s="21"/>
      <c r="E19" s="21">
        <v>521</v>
      </c>
      <c r="F19" s="6" t="s">
        <v>23</v>
      </c>
      <c r="G19" s="17"/>
      <c r="H19" s="15">
        <f>SUM(G17:G18)</f>
        <v>15149077.480000002</v>
      </c>
    </row>
    <row r="20" spans="4:8" ht="15.75" x14ac:dyDescent="0.25">
      <c r="D20" s="83" t="s">
        <v>10</v>
      </c>
      <c r="E20" s="84"/>
      <c r="F20" s="5"/>
      <c r="G20" s="25">
        <f>SUM(G5,G7,G8,G10,G17,G18)</f>
        <v>35295018</v>
      </c>
      <c r="H20" s="25">
        <f>SUM(H6,H9,H11,H12,H13,H14,H15,H16)</f>
        <v>20145940.52</v>
      </c>
    </row>
  </sheetData>
  <mergeCells count="1">
    <mergeCell ref="D20:E2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1:J65"/>
  <sheetViews>
    <sheetView showGridLines="0" zoomScale="90" zoomScaleNormal="90" workbookViewId="0">
      <selection activeCell="L17" sqref="L17"/>
    </sheetView>
  </sheetViews>
  <sheetFormatPr baseColWidth="10" defaultRowHeight="15" x14ac:dyDescent="0.25"/>
  <cols>
    <col min="1" max="1" width="2.140625" customWidth="1"/>
    <col min="2" max="2" width="18.28515625" customWidth="1"/>
    <col min="3" max="3" width="0.85546875" customWidth="1"/>
    <col min="4" max="4" width="12.140625" customWidth="1"/>
    <col min="5" max="5" width="0.85546875" customWidth="1"/>
    <col min="6" max="6" width="17.5703125" customWidth="1"/>
    <col min="7" max="7" width="0.85546875" style="35" customWidth="1"/>
    <col min="8" max="8" width="12.5703125" customWidth="1"/>
    <col min="9" max="9" width="9.28515625" customWidth="1"/>
    <col min="10" max="10" width="10.28515625" customWidth="1"/>
  </cols>
  <sheetData>
    <row r="1" spans="2:10" s="35" customFormat="1" x14ac:dyDescent="0.25"/>
    <row r="2" spans="2:10" s="35" customFormat="1" x14ac:dyDescent="0.25"/>
    <row r="3" spans="2:10" s="35" customFormat="1" x14ac:dyDescent="0.25"/>
    <row r="4" spans="2:10" s="35" customFormat="1" x14ac:dyDescent="0.25"/>
    <row r="5" spans="2:10" s="35" customFormat="1" x14ac:dyDescent="0.25"/>
    <row r="6" spans="2:10" s="35" customFormat="1" x14ac:dyDescent="0.25"/>
    <row r="7" spans="2:10" s="35" customFormat="1" x14ac:dyDescent="0.25"/>
    <row r="8" spans="2:10" s="35" customFormat="1" ht="18.75" x14ac:dyDescent="0.3">
      <c r="B8" s="60" t="s">
        <v>26</v>
      </c>
      <c r="D8" s="104" t="s">
        <v>66</v>
      </c>
      <c r="E8" s="104"/>
      <c r="F8" s="104"/>
      <c r="H8" s="79" t="s">
        <v>32</v>
      </c>
      <c r="I8" s="75" t="str">
        <f>VLOOKUP(D8,donnees!B2:H51,7,)</f>
        <v>B</v>
      </c>
    </row>
    <row r="9" spans="2:10" s="35" customFormat="1" x14ac:dyDescent="0.25"/>
    <row r="10" spans="2:10" s="35" customFormat="1" ht="15.75" x14ac:dyDescent="0.25">
      <c r="B10" s="39" t="s">
        <v>257</v>
      </c>
      <c r="D10" s="73" t="str">
        <f>VLOOKUP($D$8,donnees!B2:C51,2,)</f>
        <v>ALA</v>
      </c>
      <c r="F10" s="39" t="s">
        <v>28</v>
      </c>
      <c r="H10" s="75" t="str">
        <f>VLOOKUP($D$8,donnees!B2:D51,3,)</f>
        <v>BEYE</v>
      </c>
    </row>
    <row r="11" spans="2:10" s="35" customFormat="1" x14ac:dyDescent="0.25"/>
    <row r="12" spans="2:10" s="35" customFormat="1" ht="18.75" x14ac:dyDescent="0.3">
      <c r="B12" s="39" t="s">
        <v>258</v>
      </c>
      <c r="D12" s="73" t="str">
        <f>VLOOKUP(D8,donnees!B2:E51,4,)</f>
        <v>17/10/1982</v>
      </c>
      <c r="F12" s="39" t="s">
        <v>54</v>
      </c>
      <c r="G12" s="61"/>
      <c r="H12" s="74">
        <f ca="1">VLOOKUP(D8,donnees!B2:AU47,46,)</f>
        <v>37</v>
      </c>
      <c r="J12" s="70"/>
    </row>
    <row r="13" spans="2:10" s="35" customFormat="1" ht="18.75" x14ac:dyDescent="0.3">
      <c r="B13" s="76"/>
      <c r="D13" s="77"/>
      <c r="F13" s="76"/>
      <c r="G13" s="61"/>
      <c r="H13" s="78"/>
      <c r="J13" s="76"/>
    </row>
    <row r="14" spans="2:10" s="35" customFormat="1" ht="18.75" x14ac:dyDescent="0.3">
      <c r="B14" s="39" t="s">
        <v>286</v>
      </c>
      <c r="D14" s="75" t="str">
        <f>VLOOKUP($D$8,donnees!B2:F51,5,)</f>
        <v>GOUDIRY</v>
      </c>
      <c r="F14" s="39" t="s">
        <v>259</v>
      </c>
      <c r="G14" s="61"/>
      <c r="H14" s="75" t="str">
        <f>VLOOKUP($D$8,donnees!B2:I51,8,)</f>
        <v>Marié</v>
      </c>
      <c r="J14" s="76"/>
    </row>
    <row r="15" spans="2:10" s="35" customFormat="1" ht="18.75" x14ac:dyDescent="0.3">
      <c r="B15" s="61"/>
      <c r="C15" s="71"/>
      <c r="D15" s="71"/>
      <c r="F15" s="61"/>
      <c r="G15" s="61"/>
      <c r="H15" s="72"/>
      <c r="J15" s="61"/>
    </row>
    <row r="16" spans="2:10" s="35" customFormat="1" ht="18.75" x14ac:dyDescent="0.3">
      <c r="B16" s="39" t="s">
        <v>260</v>
      </c>
      <c r="C16" s="71"/>
      <c r="D16" s="74">
        <f>VLOOKUP(D8,donnees!B2:K51,10,)</f>
        <v>6</v>
      </c>
      <c r="F16" s="39" t="s">
        <v>261</v>
      </c>
      <c r="G16" s="61"/>
      <c r="H16" s="75" t="str">
        <f>VLOOKUP(D8,donnees!B2:AB47,27,)</f>
        <v>Cadre</v>
      </c>
    </row>
    <row r="17" spans="2:10" s="35" customFormat="1" ht="18.75" x14ac:dyDescent="0.3">
      <c r="B17" s="61"/>
      <c r="C17" s="71"/>
      <c r="D17" s="71"/>
      <c r="F17" s="61"/>
      <c r="G17" s="61"/>
      <c r="H17" s="72"/>
      <c r="J17" s="61"/>
    </row>
    <row r="18" spans="2:10" s="35" customFormat="1" x14ac:dyDescent="0.25"/>
    <row r="19" spans="2:10" s="35" customFormat="1" x14ac:dyDescent="0.25"/>
    <row r="20" spans="2:10" s="35" customFormat="1" ht="18.75" x14ac:dyDescent="0.3">
      <c r="B20" s="105" t="s">
        <v>263</v>
      </c>
      <c r="C20" s="105"/>
      <c r="D20" s="105"/>
      <c r="E20" s="105"/>
      <c r="F20" s="105"/>
      <c r="G20" s="105"/>
      <c r="H20" s="105" t="s">
        <v>262</v>
      </c>
      <c r="I20" s="105"/>
      <c r="J20" s="63"/>
    </row>
    <row r="21" spans="2:10" s="35" customFormat="1" x14ac:dyDescent="0.25">
      <c r="B21" s="102" t="s">
        <v>55</v>
      </c>
      <c r="C21" s="102"/>
      <c r="D21" s="102"/>
      <c r="E21" s="102"/>
      <c r="F21" s="102"/>
      <c r="G21" s="102"/>
      <c r="H21" s="89">
        <f>VLOOKUP(D8,donnees!B2:Y47,24,)</f>
        <v>350127</v>
      </c>
      <c r="I21" s="90"/>
      <c r="J21" s="81"/>
    </row>
    <row r="22" spans="2:10" s="35" customFormat="1" x14ac:dyDescent="0.25">
      <c r="B22" s="102" t="s">
        <v>36</v>
      </c>
      <c r="C22" s="102"/>
      <c r="D22" s="102"/>
      <c r="E22" s="102"/>
      <c r="F22" s="102"/>
      <c r="G22" s="102"/>
      <c r="H22" s="87">
        <f>VLOOKUP(D8,donnees!B2:L47,11,)</f>
        <v>0</v>
      </c>
      <c r="I22" s="88"/>
      <c r="J22" s="80"/>
    </row>
    <row r="23" spans="2:10" s="35" customFormat="1" x14ac:dyDescent="0.25">
      <c r="B23" s="102" t="s">
        <v>273</v>
      </c>
      <c r="C23" s="102"/>
      <c r="D23" s="102"/>
      <c r="E23" s="102"/>
      <c r="F23" s="102"/>
      <c r="G23" s="102"/>
      <c r="H23" s="87">
        <f>VLOOKUP(D8,donnees!B2:AV47,47,)</f>
        <v>0</v>
      </c>
      <c r="I23" s="88"/>
      <c r="J23" s="80"/>
    </row>
    <row r="24" spans="2:10" s="35" customFormat="1" x14ac:dyDescent="0.25">
      <c r="B24" s="102" t="s">
        <v>272</v>
      </c>
      <c r="C24" s="102"/>
      <c r="D24" s="102"/>
      <c r="E24" s="102"/>
      <c r="F24" s="102"/>
      <c r="G24" s="102"/>
      <c r="H24" s="87">
        <f>VLOOKUP(D8,donnees!B2:AW47,48,)</f>
        <v>0</v>
      </c>
      <c r="I24" s="88"/>
      <c r="J24" s="80"/>
    </row>
    <row r="25" spans="2:10" s="35" customFormat="1" x14ac:dyDescent="0.25">
      <c r="B25" s="102" t="s">
        <v>271</v>
      </c>
      <c r="C25" s="102"/>
      <c r="D25" s="102"/>
      <c r="E25" s="102"/>
      <c r="F25" s="102"/>
      <c r="G25" s="102"/>
      <c r="H25" s="87">
        <f>VLOOKUP(D8,donnees!B2:AX47,49,)</f>
        <v>0</v>
      </c>
      <c r="I25" s="88"/>
      <c r="J25" s="80"/>
    </row>
    <row r="26" spans="2:10" s="35" customFormat="1" x14ac:dyDescent="0.25">
      <c r="B26" s="102" t="s">
        <v>270</v>
      </c>
      <c r="C26" s="102"/>
      <c r="D26" s="102"/>
      <c r="E26" s="102"/>
      <c r="F26" s="102"/>
      <c r="G26" s="102"/>
      <c r="H26" s="87">
        <f>VLOOKUP(D8,donnees!B2:AY47,50,)</f>
        <v>0</v>
      </c>
      <c r="I26" s="88"/>
      <c r="J26" s="80"/>
    </row>
    <row r="27" spans="2:10" s="35" customFormat="1" x14ac:dyDescent="0.25">
      <c r="B27" s="102" t="s">
        <v>269</v>
      </c>
      <c r="C27" s="102"/>
      <c r="D27" s="102"/>
      <c r="E27" s="102"/>
      <c r="F27" s="102"/>
      <c r="G27" s="102"/>
      <c r="H27" s="87">
        <f>VLOOKUP(D8,donnees!B2:Q51,16,)</f>
        <v>0</v>
      </c>
      <c r="I27" s="88"/>
      <c r="J27" s="80"/>
    </row>
    <row r="28" spans="2:10" s="35" customFormat="1" x14ac:dyDescent="0.25">
      <c r="B28" s="102" t="s">
        <v>268</v>
      </c>
      <c r="C28" s="102"/>
      <c r="D28" s="102"/>
      <c r="E28" s="102"/>
      <c r="F28" s="102"/>
      <c r="G28" s="102"/>
      <c r="H28" s="89">
        <f>VLOOKUP(bulletin!D8,donnees!B2:Z47,25,)</f>
        <v>385479</v>
      </c>
      <c r="I28" s="90"/>
      <c r="J28" s="81"/>
    </row>
    <row r="29" spans="2:10" s="35" customFormat="1" x14ac:dyDescent="0.25">
      <c r="B29" s="102" t="s">
        <v>264</v>
      </c>
      <c r="C29" s="102"/>
      <c r="D29" s="102"/>
      <c r="E29" s="102"/>
      <c r="F29" s="102"/>
      <c r="G29" s="102"/>
      <c r="H29" s="87">
        <f>VLOOKUP(D8,donnees!B2:R47,17,)</f>
        <v>0</v>
      </c>
      <c r="I29" s="88"/>
      <c r="J29" s="80"/>
    </row>
    <row r="30" spans="2:10" s="35" customFormat="1" x14ac:dyDescent="0.25">
      <c r="B30" s="102" t="s">
        <v>267</v>
      </c>
      <c r="C30" s="102"/>
      <c r="D30" s="102"/>
      <c r="E30" s="102"/>
      <c r="F30" s="102"/>
      <c r="G30" s="102"/>
      <c r="H30" s="89">
        <f>VLOOKUP(bulletin!D8,donnees!B2:AA47,26,)</f>
        <v>385479</v>
      </c>
      <c r="I30" s="90"/>
      <c r="J30" s="81"/>
    </row>
    <row r="31" spans="2:10" s="35" customFormat="1" x14ac:dyDescent="0.25">
      <c r="B31" s="93" t="s">
        <v>7</v>
      </c>
      <c r="C31" s="94"/>
      <c r="D31" s="94"/>
      <c r="E31" s="95"/>
      <c r="F31" s="102" t="s">
        <v>22</v>
      </c>
      <c r="G31" s="102"/>
      <c r="H31" s="87">
        <f>VLOOKUP(D8,donnees!B2:AC47,28,)</f>
        <v>20160</v>
      </c>
      <c r="I31" s="88"/>
      <c r="J31" s="80"/>
    </row>
    <row r="32" spans="2:10" s="35" customFormat="1" x14ac:dyDescent="0.25">
      <c r="B32" s="96"/>
      <c r="C32" s="97"/>
      <c r="D32" s="97"/>
      <c r="E32" s="98"/>
      <c r="F32" s="102" t="s">
        <v>266</v>
      </c>
      <c r="G32" s="102"/>
      <c r="H32" s="87">
        <f>VLOOKUP(D8,donnees!B2:AD47,29,)</f>
        <v>9251</v>
      </c>
      <c r="I32" s="88"/>
      <c r="J32" s="80"/>
    </row>
    <row r="33" spans="2:10" s="35" customFormat="1" x14ac:dyDescent="0.25">
      <c r="B33" s="96"/>
      <c r="C33" s="97"/>
      <c r="D33" s="97"/>
      <c r="E33" s="98"/>
      <c r="F33" s="102" t="s">
        <v>3</v>
      </c>
      <c r="G33" s="102"/>
      <c r="H33" s="87">
        <f>VLOOKUP(bulletin!D8,donnees!B2:T51,19,)</f>
        <v>5000</v>
      </c>
      <c r="I33" s="88"/>
      <c r="J33" s="80"/>
    </row>
    <row r="34" spans="2:10" s="35" customFormat="1" x14ac:dyDescent="0.25">
      <c r="B34" s="96"/>
      <c r="C34" s="97"/>
      <c r="D34" s="97"/>
      <c r="E34" s="98"/>
      <c r="F34" s="102" t="s">
        <v>4</v>
      </c>
      <c r="G34" s="102"/>
      <c r="H34" s="87">
        <f>VLOOKUP(D8,donnees!B2:AF47,31,)</f>
        <v>2700</v>
      </c>
      <c r="I34" s="88"/>
      <c r="J34" s="80"/>
    </row>
    <row r="35" spans="2:10" s="35" customFormat="1" x14ac:dyDescent="0.25">
      <c r="B35" s="96"/>
      <c r="C35" s="97"/>
      <c r="D35" s="97"/>
      <c r="E35" s="98"/>
      <c r="F35" s="102" t="s">
        <v>265</v>
      </c>
      <c r="G35" s="102"/>
      <c r="H35" s="87">
        <f>VLOOKUP(D8,donnees!B2:AQ47,42,)</f>
        <v>3333</v>
      </c>
      <c r="I35" s="88"/>
      <c r="J35" s="80"/>
    </row>
    <row r="36" spans="2:10" s="35" customFormat="1" x14ac:dyDescent="0.25">
      <c r="B36" s="96"/>
      <c r="C36" s="97"/>
      <c r="D36" s="97"/>
      <c r="E36" s="98"/>
      <c r="F36" s="102" t="s">
        <v>256</v>
      </c>
      <c r="G36" s="102"/>
      <c r="H36" s="87">
        <f>VLOOKUP(D8,donnees!B2:U51,20,)</f>
        <v>0</v>
      </c>
      <c r="I36" s="88"/>
      <c r="J36" s="80"/>
    </row>
    <row r="37" spans="2:10" s="35" customFormat="1" x14ac:dyDescent="0.25">
      <c r="B37" s="99"/>
      <c r="C37" s="100"/>
      <c r="D37" s="100"/>
      <c r="E37" s="101"/>
      <c r="F37" s="102" t="s">
        <v>6</v>
      </c>
      <c r="G37" s="102"/>
      <c r="H37" s="87">
        <f>VLOOKUP(D8,donnees!B2:V51,21,)</f>
        <v>0</v>
      </c>
      <c r="I37" s="88"/>
      <c r="J37" s="80"/>
    </row>
    <row r="38" spans="2:10" s="35" customFormat="1" x14ac:dyDescent="0.25">
      <c r="B38" s="91" t="s">
        <v>274</v>
      </c>
      <c r="C38" s="91"/>
      <c r="D38" s="91"/>
      <c r="E38" s="91"/>
      <c r="F38" s="91"/>
      <c r="G38" s="91"/>
      <c r="H38" s="89">
        <f>H31+H32+H33+H34+H35+H36+H37</f>
        <v>40444</v>
      </c>
      <c r="I38" s="90"/>
      <c r="J38" s="81"/>
    </row>
    <row r="39" spans="2:10" s="35" customFormat="1" x14ac:dyDescent="0.25">
      <c r="B39" s="91" t="s">
        <v>275</v>
      </c>
      <c r="C39" s="91"/>
      <c r="D39" s="91"/>
      <c r="E39" s="91"/>
      <c r="F39" s="91"/>
      <c r="G39" s="91"/>
      <c r="H39" s="89">
        <f>VLOOKUP(D8,donnees!B2:AS47,44,)</f>
        <v>345035</v>
      </c>
      <c r="I39" s="90"/>
      <c r="J39" s="81"/>
    </row>
    <row r="40" spans="2:10" s="35" customFormat="1" x14ac:dyDescent="0.25">
      <c r="B40" s="91" t="s">
        <v>53</v>
      </c>
      <c r="C40" s="91"/>
      <c r="D40" s="91"/>
      <c r="E40" s="91"/>
      <c r="F40" s="91"/>
      <c r="G40" s="91"/>
      <c r="H40" s="87">
        <f>VLOOKUP(D8,donnees!B2:W51,22,)</f>
        <v>0</v>
      </c>
      <c r="I40" s="88"/>
      <c r="J40" s="80"/>
    </row>
    <row r="41" spans="2:10" s="35" customFormat="1" ht="18.75" x14ac:dyDescent="0.25">
      <c r="B41" s="92" t="s">
        <v>276</v>
      </c>
      <c r="C41" s="92"/>
      <c r="D41" s="92"/>
      <c r="E41" s="92"/>
      <c r="F41" s="92"/>
      <c r="G41" s="92"/>
      <c r="H41" s="85">
        <f>VLOOKUP(D8,donnees!B2:AT47,45,)</f>
        <v>345035</v>
      </c>
      <c r="I41" s="86"/>
      <c r="J41" s="81"/>
    </row>
    <row r="42" spans="2:10" ht="14.25" customHeight="1" x14ac:dyDescent="0.25"/>
    <row r="43" spans="2:10" hidden="1" x14ac:dyDescent="0.25"/>
    <row r="44" spans="2:10" hidden="1" x14ac:dyDescent="0.25"/>
    <row r="45" spans="2:10" s="32" customFormat="1" ht="16.5" customHeight="1" x14ac:dyDescent="0.25">
      <c r="F45" s="110"/>
      <c r="G45" s="110"/>
      <c r="H45" s="110"/>
      <c r="I45" s="65"/>
      <c r="J45" s="66"/>
    </row>
    <row r="46" spans="2:10" x14ac:dyDescent="0.25">
      <c r="F46" s="103"/>
      <c r="G46" s="103"/>
      <c r="H46" s="103"/>
      <c r="I46" s="64"/>
      <c r="J46" s="64"/>
    </row>
    <row r="47" spans="2:10" x14ac:dyDescent="0.25">
      <c r="F47" s="103"/>
      <c r="G47" s="103"/>
      <c r="H47" s="103"/>
      <c r="I47" s="64"/>
      <c r="J47" s="64"/>
    </row>
    <row r="48" spans="2:10" x14ac:dyDescent="0.25">
      <c r="F48" s="103"/>
      <c r="G48" s="103"/>
      <c r="H48" s="103"/>
      <c r="I48" s="64"/>
      <c r="J48" s="64"/>
    </row>
    <row r="49" spans="6:10" x14ac:dyDescent="0.25">
      <c r="F49" s="103"/>
      <c r="G49" s="103"/>
      <c r="H49" s="103"/>
      <c r="I49" s="64"/>
      <c r="J49" s="64"/>
    </row>
    <row r="50" spans="6:10" x14ac:dyDescent="0.25">
      <c r="F50" s="103"/>
      <c r="G50" s="103"/>
      <c r="H50" s="103"/>
      <c r="I50" s="64"/>
      <c r="J50" s="64"/>
    </row>
    <row r="51" spans="6:10" x14ac:dyDescent="0.25">
      <c r="F51" s="103"/>
      <c r="G51" s="103"/>
      <c r="H51" s="103"/>
      <c r="I51" s="64"/>
      <c r="J51" s="64"/>
    </row>
    <row r="52" spans="6:10" s="33" customFormat="1" ht="15.75" customHeight="1" x14ac:dyDescent="0.25">
      <c r="F52" s="108"/>
      <c r="G52" s="108"/>
      <c r="H52" s="108"/>
      <c r="I52" s="62"/>
      <c r="J52" s="62"/>
    </row>
    <row r="53" spans="6:10" x14ac:dyDescent="0.25">
      <c r="F53" s="103"/>
      <c r="G53" s="103"/>
      <c r="H53" s="103"/>
      <c r="I53" s="64"/>
      <c r="J53" s="64"/>
    </row>
    <row r="54" spans="6:10" x14ac:dyDescent="0.25">
      <c r="F54" s="103"/>
      <c r="G54" s="103"/>
      <c r="H54" s="103"/>
      <c r="I54" s="64"/>
      <c r="J54" s="64"/>
    </row>
    <row r="55" spans="6:10" x14ac:dyDescent="0.25">
      <c r="F55" s="107"/>
      <c r="G55" s="67"/>
      <c r="H55" s="62"/>
      <c r="I55" s="64"/>
      <c r="J55" s="64"/>
    </row>
    <row r="56" spans="6:10" x14ac:dyDescent="0.25">
      <c r="F56" s="107"/>
      <c r="G56" s="67"/>
      <c r="H56" s="62"/>
      <c r="I56" s="64"/>
      <c r="J56" s="64"/>
    </row>
    <row r="57" spans="6:10" x14ac:dyDescent="0.25">
      <c r="F57" s="107"/>
      <c r="G57" s="67"/>
      <c r="H57" s="62"/>
      <c r="I57" s="64"/>
      <c r="J57" s="64"/>
    </row>
    <row r="58" spans="6:10" x14ac:dyDescent="0.25">
      <c r="F58" s="107"/>
      <c r="G58" s="67"/>
      <c r="H58" s="62"/>
      <c r="I58" s="64"/>
      <c r="J58" s="64"/>
    </row>
    <row r="59" spans="6:10" x14ac:dyDescent="0.25">
      <c r="F59" s="107"/>
      <c r="G59" s="67"/>
      <c r="H59" s="62"/>
      <c r="I59" s="64"/>
      <c r="J59" s="64"/>
    </row>
    <row r="60" spans="6:10" x14ac:dyDescent="0.25">
      <c r="F60" s="107"/>
      <c r="G60" s="67"/>
      <c r="H60" s="62"/>
      <c r="I60" s="64"/>
      <c r="J60" s="64"/>
    </row>
    <row r="61" spans="6:10" x14ac:dyDescent="0.25">
      <c r="F61" s="107"/>
      <c r="G61" s="67"/>
      <c r="H61" s="62"/>
      <c r="I61" s="64"/>
      <c r="J61" s="64"/>
    </row>
    <row r="62" spans="6:10" ht="15" customHeight="1" x14ac:dyDescent="0.25">
      <c r="F62" s="106"/>
      <c r="G62" s="106"/>
      <c r="H62" s="106"/>
      <c r="I62" s="64"/>
      <c r="J62" s="64"/>
    </row>
    <row r="63" spans="6:10" ht="15.75" customHeight="1" x14ac:dyDescent="0.25">
      <c r="F63" s="106"/>
      <c r="G63" s="106"/>
      <c r="H63" s="106"/>
      <c r="I63" s="64"/>
      <c r="J63" s="64"/>
    </row>
    <row r="64" spans="6:10" ht="15" customHeight="1" x14ac:dyDescent="0.25">
      <c r="F64" s="109"/>
      <c r="G64" s="109"/>
      <c r="H64" s="109"/>
      <c r="I64" s="64"/>
      <c r="J64" s="64"/>
    </row>
    <row r="65" spans="6:10" x14ac:dyDescent="0.25">
      <c r="F65" s="106"/>
      <c r="G65" s="106"/>
      <c r="H65" s="106"/>
      <c r="I65" s="64"/>
      <c r="J65" s="64"/>
    </row>
  </sheetData>
  <mergeCells count="61">
    <mergeCell ref="F45:H45"/>
    <mergeCell ref="F46:H46"/>
    <mergeCell ref="F47:H47"/>
    <mergeCell ref="F48:H48"/>
    <mergeCell ref="F49:H49"/>
    <mergeCell ref="F65:H65"/>
    <mergeCell ref="F55:F61"/>
    <mergeCell ref="F51:H51"/>
    <mergeCell ref="F52:H52"/>
    <mergeCell ref="F53:H53"/>
    <mergeCell ref="F62:H62"/>
    <mergeCell ref="F63:H63"/>
    <mergeCell ref="F64:H64"/>
    <mergeCell ref="F54:H54"/>
    <mergeCell ref="F50:H50"/>
    <mergeCell ref="D8:F8"/>
    <mergeCell ref="B20:G20"/>
    <mergeCell ref="B21:G21"/>
    <mergeCell ref="B22:G22"/>
    <mergeCell ref="H20:I20"/>
    <mergeCell ref="H21:I21"/>
    <mergeCell ref="H22:I22"/>
    <mergeCell ref="B28:G28"/>
    <mergeCell ref="B29:G29"/>
    <mergeCell ref="B30:G30"/>
    <mergeCell ref="B23:G23"/>
    <mergeCell ref="B24:G24"/>
    <mergeCell ref="B25:G25"/>
    <mergeCell ref="B26:G26"/>
    <mergeCell ref="B27:G27"/>
    <mergeCell ref="B41:G41"/>
    <mergeCell ref="B31:E37"/>
    <mergeCell ref="F31:G31"/>
    <mergeCell ref="F32:G32"/>
    <mergeCell ref="F33:G33"/>
    <mergeCell ref="F34:G34"/>
    <mergeCell ref="F35:G35"/>
    <mergeCell ref="F36:G36"/>
    <mergeCell ref="F37:G37"/>
    <mergeCell ref="B38:G38"/>
    <mergeCell ref="H38:I38"/>
    <mergeCell ref="B39:G39"/>
    <mergeCell ref="H39:I39"/>
    <mergeCell ref="H40:I40"/>
    <mergeCell ref="B40:G40"/>
    <mergeCell ref="H41:I41"/>
    <mergeCell ref="H23:I23"/>
    <mergeCell ref="H24:I24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</mergeCells>
  <pageMargins left="0.7" right="0.7" top="0.75" bottom="0.75" header="0.3" footer="0.3"/>
  <pageSetup paperSize="9" scale="50" orientation="landscape" r:id="rId1"/>
  <drawing r:id="rId2"/>
  <legacyDrawing r:id="rId3"/>
  <controls>
    <mc:AlternateContent xmlns:mc="http://schemas.openxmlformats.org/markup-compatibility/2006">
      <mc:Choice Requires="x14">
        <control shapeId="1035" r:id="rId4" name="CommandButton1">
          <controlPr defaultSize="0" print="0" autoLine="0" autoPict="0" r:id="rId5">
            <anchor moveWithCells="1">
              <from>
                <xdr:col>12</xdr:col>
                <xdr:colOff>152400</xdr:colOff>
                <xdr:row>3</xdr:row>
                <xdr:rowOff>171450</xdr:rowOff>
              </from>
              <to>
                <xdr:col>14</xdr:col>
                <xdr:colOff>161925</xdr:colOff>
                <xdr:row>7</xdr:row>
                <xdr:rowOff>161925</xdr:rowOff>
              </to>
            </anchor>
          </controlPr>
        </control>
      </mc:Choice>
      <mc:Fallback>
        <control shapeId="1035" r:id="rId4" name="CommandButton1"/>
      </mc:Fallback>
    </mc:AlternateContent>
    <mc:AlternateContent xmlns:mc="http://schemas.openxmlformats.org/markup-compatibility/2006">
      <mc:Choice Requires="x14">
        <control shapeId="1036" r:id="rId6" name="CommandButton2">
          <controlPr defaultSize="0" print="0" autoLine="0" autoPict="0" r:id="rId7">
            <anchor moveWithCells="1">
              <from>
                <xdr:col>12</xdr:col>
                <xdr:colOff>152400</xdr:colOff>
                <xdr:row>9</xdr:row>
                <xdr:rowOff>123825</xdr:rowOff>
              </from>
              <to>
                <xdr:col>14</xdr:col>
                <xdr:colOff>114300</xdr:colOff>
                <xdr:row>11</xdr:row>
                <xdr:rowOff>228600</xdr:rowOff>
              </to>
            </anchor>
          </controlPr>
        </control>
      </mc:Choice>
      <mc:Fallback>
        <control shapeId="1036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5966A6-6B6F-4E04-AB2C-4FD900DB9E1A}">
          <x14:formula1>
            <xm:f>donnees!$B$2:$B$4</xm:f>
          </x14:formula1>
          <xm:sqref>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Y51"/>
  <sheetViews>
    <sheetView topLeftCell="L1" zoomScale="70" zoomScaleNormal="70" workbookViewId="0">
      <selection activeCell="R20" sqref="R20"/>
    </sheetView>
  </sheetViews>
  <sheetFormatPr baseColWidth="10" defaultRowHeight="15" x14ac:dyDescent="0.25"/>
  <cols>
    <col min="2" max="2" width="12.7109375" customWidth="1"/>
    <col min="5" max="5" width="12" customWidth="1"/>
    <col min="6" max="6" width="11.5703125" customWidth="1"/>
    <col min="8" max="8" width="12.42578125" customWidth="1"/>
    <col min="9" max="9" width="12" customWidth="1"/>
    <col min="10" max="10" width="13.85546875" customWidth="1"/>
    <col min="11" max="11" width="13" customWidth="1"/>
    <col min="12" max="12" width="12.42578125" customWidth="1"/>
    <col min="13" max="15" width="13.85546875" customWidth="1"/>
    <col min="16" max="16" width="15.140625" customWidth="1"/>
    <col min="18" max="18" width="12" customWidth="1"/>
    <col min="19" max="19" width="13.28515625" customWidth="1"/>
    <col min="21" max="22" width="13.7109375" customWidth="1"/>
    <col min="23" max="23" width="24.7109375" customWidth="1"/>
    <col min="24" max="24" width="18" style="35" customWidth="1"/>
    <col min="25" max="25" width="13.42578125" customWidth="1"/>
    <col min="26" max="26" width="16.28515625" customWidth="1"/>
    <col min="27" max="27" width="15.28515625" customWidth="1"/>
    <col min="28" max="28" width="13.28515625" customWidth="1"/>
    <col min="29" max="29" width="16.7109375" style="35" customWidth="1"/>
    <col min="30" max="30" width="15.5703125" style="35" customWidth="1"/>
    <col min="31" max="31" width="13.42578125" style="35" customWidth="1"/>
    <col min="32" max="32" width="12.42578125" customWidth="1"/>
    <col min="33" max="33" width="12.7109375" style="35" customWidth="1"/>
    <col min="34" max="34" width="12.42578125" style="35" customWidth="1"/>
    <col min="35" max="35" width="11.28515625" style="35" customWidth="1"/>
    <col min="36" max="36" width="9.5703125" style="35" customWidth="1"/>
    <col min="37" max="37" width="10.7109375" style="35" customWidth="1"/>
    <col min="38" max="38" width="11" style="35" customWidth="1"/>
    <col min="39" max="39" width="11.42578125" style="35" customWidth="1"/>
    <col min="40" max="40" width="10.42578125" style="35" customWidth="1"/>
    <col min="41" max="41" width="11" style="35" customWidth="1"/>
    <col min="42" max="42" width="10.5703125" style="35" customWidth="1"/>
    <col min="43" max="43" width="10.85546875" customWidth="1"/>
    <col min="44" max="44" width="13.85546875" style="35" customWidth="1"/>
    <col min="45" max="45" width="15.7109375" customWidth="1"/>
    <col min="46" max="46" width="13" customWidth="1"/>
    <col min="47" max="47" width="6.7109375" customWidth="1"/>
    <col min="48" max="48" width="8.140625" customWidth="1"/>
    <col min="49" max="49" width="9.42578125" customWidth="1"/>
    <col min="50" max="50" width="7.28515625" customWidth="1"/>
    <col min="51" max="51" width="10.140625" customWidth="1"/>
  </cols>
  <sheetData>
    <row r="1" spans="1:51" ht="15.75" x14ac:dyDescent="0.25">
      <c r="A1" s="29" t="s">
        <v>25</v>
      </c>
      <c r="B1" s="29" t="s">
        <v>26</v>
      </c>
      <c r="C1" s="29" t="s">
        <v>27</v>
      </c>
      <c r="D1" s="29" t="s">
        <v>28</v>
      </c>
      <c r="E1" s="29" t="s">
        <v>29</v>
      </c>
      <c r="F1" s="29" t="s">
        <v>30</v>
      </c>
      <c r="G1" s="29" t="s">
        <v>31</v>
      </c>
      <c r="H1" s="29" t="s">
        <v>32</v>
      </c>
      <c r="I1" s="29" t="s">
        <v>33</v>
      </c>
      <c r="J1" s="29" t="s">
        <v>34</v>
      </c>
      <c r="K1" s="29" t="s">
        <v>35</v>
      </c>
      <c r="L1" s="29" t="s">
        <v>36</v>
      </c>
      <c r="M1" s="29" t="s">
        <v>37</v>
      </c>
      <c r="N1" s="29" t="s">
        <v>38</v>
      </c>
      <c r="O1" s="29" t="s">
        <v>39</v>
      </c>
      <c r="P1" s="29" t="s">
        <v>40</v>
      </c>
      <c r="Q1" s="30" t="s">
        <v>41</v>
      </c>
      <c r="R1" s="30" t="s">
        <v>42</v>
      </c>
      <c r="S1" s="30" t="s">
        <v>43</v>
      </c>
      <c r="T1" s="30" t="s">
        <v>3</v>
      </c>
      <c r="U1" s="30" t="s">
        <v>44</v>
      </c>
      <c r="V1" s="30" t="s">
        <v>6</v>
      </c>
      <c r="W1" s="31" t="s">
        <v>45</v>
      </c>
      <c r="X1" s="58" t="s">
        <v>244</v>
      </c>
      <c r="Y1" s="31" t="s">
        <v>241</v>
      </c>
      <c r="Z1" s="31" t="s">
        <v>0</v>
      </c>
      <c r="AA1" s="31" t="s">
        <v>240</v>
      </c>
      <c r="AB1" s="31" t="s">
        <v>56</v>
      </c>
      <c r="AC1" s="31" t="s">
        <v>1</v>
      </c>
      <c r="AD1" s="31" t="s">
        <v>2</v>
      </c>
      <c r="AE1" s="31" t="s">
        <v>245</v>
      </c>
      <c r="AF1" s="31" t="s">
        <v>4</v>
      </c>
      <c r="AG1" s="31" t="s">
        <v>247</v>
      </c>
      <c r="AH1" s="31" t="s">
        <v>248</v>
      </c>
      <c r="AI1" s="31" t="s">
        <v>246</v>
      </c>
      <c r="AJ1" s="31" t="s">
        <v>249</v>
      </c>
      <c r="AK1" s="31" t="s">
        <v>250</v>
      </c>
      <c r="AL1" s="31" t="s">
        <v>251</v>
      </c>
      <c r="AM1" s="31" t="s">
        <v>252</v>
      </c>
      <c r="AN1" s="31" t="s">
        <v>253</v>
      </c>
      <c r="AO1" s="31" t="s">
        <v>254</v>
      </c>
      <c r="AP1" s="31" t="s">
        <v>255</v>
      </c>
      <c r="AQ1" s="31" t="s">
        <v>5</v>
      </c>
      <c r="AR1" s="31" t="s">
        <v>7</v>
      </c>
      <c r="AS1" s="31" t="s">
        <v>242</v>
      </c>
      <c r="AT1" s="31" t="s">
        <v>243</v>
      </c>
      <c r="AU1" s="31" t="s">
        <v>54</v>
      </c>
      <c r="AV1" s="31" t="s">
        <v>278</v>
      </c>
      <c r="AW1" s="31" t="s">
        <v>279</v>
      </c>
      <c r="AX1" s="31" t="s">
        <v>280</v>
      </c>
      <c r="AY1" s="31" t="s">
        <v>281</v>
      </c>
    </row>
    <row r="2" spans="1:51" x14ac:dyDescent="0.25">
      <c r="A2" s="54">
        <v>1</v>
      </c>
      <c r="B2" s="54" t="s">
        <v>57</v>
      </c>
      <c r="C2" s="54" t="s">
        <v>58</v>
      </c>
      <c r="D2" s="54" t="s">
        <v>59</v>
      </c>
      <c r="E2" s="59">
        <v>30568</v>
      </c>
      <c r="F2" s="54" t="s">
        <v>60</v>
      </c>
      <c r="G2" s="54" t="s">
        <v>50</v>
      </c>
      <c r="H2" s="54" t="s">
        <v>47</v>
      </c>
      <c r="I2" s="54" t="s">
        <v>51</v>
      </c>
      <c r="J2" s="54">
        <v>1</v>
      </c>
      <c r="K2" s="54">
        <v>3</v>
      </c>
      <c r="L2" s="54">
        <v>0</v>
      </c>
      <c r="M2" s="54">
        <v>0</v>
      </c>
      <c r="N2" s="54">
        <v>0</v>
      </c>
      <c r="O2" s="54">
        <v>0</v>
      </c>
      <c r="P2" s="54">
        <v>4</v>
      </c>
      <c r="Q2" s="54">
        <v>0</v>
      </c>
      <c r="R2" s="54">
        <v>0</v>
      </c>
      <c r="S2" s="54">
        <v>17500</v>
      </c>
      <c r="T2" s="54">
        <v>4500</v>
      </c>
      <c r="U2" s="54">
        <v>25000</v>
      </c>
      <c r="V2" s="54">
        <v>0</v>
      </c>
      <c r="W2" s="54">
        <v>0</v>
      </c>
      <c r="X2" s="54">
        <f t="shared" ref="X2:X51" si="0">IF(H2="A",2711,IF(H2="B",2020,IF(H2="C",1385)))</f>
        <v>2020</v>
      </c>
      <c r="Y2" s="54">
        <f t="shared" ref="Y2:Y51" si="1">ROUND(Salaire_Base(H2),0)</f>
        <v>350127</v>
      </c>
      <c r="Z2" s="54">
        <f t="shared" ref="Z2:Z51" si="2">Y2+S2+Q2+L2+(X2*0.15*M2)+(X2*0.4*N2)+(X2*0.6*O2)+(X2*2*P2)</f>
        <v>383787</v>
      </c>
      <c r="AA2" s="54">
        <f t="shared" ref="AA2:AA51" si="3">Z2+R2</f>
        <v>383787</v>
      </c>
      <c r="AB2" s="54" t="str">
        <f t="shared" ref="AB2:AB51" si="4">IF(Z2&lt;360000,"Général","Cadre")</f>
        <v>Cadre</v>
      </c>
      <c r="AC2" s="54">
        <f t="shared" ref="AC2:AC51" si="5">IF(Z2&lt;360000,Z2*0.056,IF(AND(Z2&gt;=360000,Z2&lt;1080000),360000*0.056,360000*0.056))</f>
        <v>20160</v>
      </c>
      <c r="AD2" s="54">
        <f t="shared" ref="AD2:AD51" si="6">ROUND(IF(Z2&lt;360000,0,IF(AND(Z2&gt;=360000,Z2&lt;1080000),Z2*0.024,1080000*0.056)),0)</f>
        <v>9211</v>
      </c>
      <c r="AE2" s="54">
        <f t="shared" ref="AE2:AE51" si="7">IF(AND(G2="M",I2="Célibataire"),1,IF(AND(G2="M",I2="Marié"),1+J2,IF(AND(G2="F",I2="Marié"),1,IF(AND(G2="F",I2="Célibataire"),0,IF(AND(G2="",I2=""),0)))))</f>
        <v>2</v>
      </c>
      <c r="AF2" s="54">
        <f t="shared" ref="AF2:AF51" si="8">IF(AND(AA2&gt;=0,AA2&lt;599999),900*AE2,IF(AND(AA2&gt;=600000,AA2&lt;999999),3600*AE2,IF(AND(AA2&gt;=1000000,AA2&lt;1999999),4800*AE2,IF(AND(AA2&gt;=2000000,AA2&lt;6999999),12000*AE2))))</f>
        <v>1800</v>
      </c>
      <c r="AG2" s="54">
        <f t="shared" ref="AG2:AG51" si="9">ROUNDDOWN(AA2,-3)*12</f>
        <v>4596000</v>
      </c>
      <c r="AH2" s="54">
        <f t="shared" ref="AH2:AH51" si="10">AG2-AI2</f>
        <v>3696000</v>
      </c>
      <c r="AI2" s="54">
        <f t="shared" ref="AI2:AI51" si="11">IF(AG2&lt;3000000,AG2*0.3,900000)</f>
        <v>900000</v>
      </c>
      <c r="AJ2" s="54">
        <f t="shared" ref="AJ2:AJ51" si="12">IF(AND(G2="M",I2="Marié"),1.5+(0.5*J2)+(0.5*K2),IF(AND(G2="M",I2="Célibataire"),1.5+(0.5*K2),IF(AND(G2="F",I2="Marié"),1.5+(0.5*K2),IF(AND(G2="F",I2="Célibataire"),1))))</f>
        <v>3.5</v>
      </c>
      <c r="AK2" s="54">
        <f t="shared" ref="AK2:AK51" si="13">IF(AJ2&gt;5,5,AJ2)</f>
        <v>3.5</v>
      </c>
      <c r="AL2" s="54">
        <f t="shared" ref="AL2:AL51" si="14">IF(AK2=1,0,IF(AK2=1.5,0.1,IF(AK2=2,0.15,IF(AK2=2.5,0.2,IF(AK2=3,0.25,IF(AK2=3.5,0.3,IF(AK2=4,0.35,IF(AK2=4.5,0.4,IF(AK2=5,0.45)))))))))</f>
        <v>0.3</v>
      </c>
      <c r="AM2" s="54">
        <f t="shared" ref="AM2:AM51" si="15">IF(AK2=1,0,IF(AK2=1.5,100000,IF(AK2=2,200000,IF(AK2=2.5,300000,IF(AK2=3,400000,IF(AK2=3.5,500000,IF(AK2=4,600000,IF(AK2=4.5,700000,IF(AK2=5,800000)))))))))</f>
        <v>500000</v>
      </c>
      <c r="AN2" s="54">
        <f t="shared" ref="AN2:AN51" si="16">IF(AK2=1,0,IF(AK2=1.5,300000,IF(AK2=2,650000,IF(AK2=2.5,1100000,IF(AK2=3,1650000,IF(AK2=3.5,2030000,IF(AK2=4,2490000,IF(AK2=4.5,2755000,IF(AK2=5,3180000)))))))))</f>
        <v>2030000</v>
      </c>
      <c r="AO2" s="54">
        <f t="shared" ref="AO2:AO51" si="17">IF(AND(AH2&gt;=0,AH2&lt;=630000),0,IF(AND(AH2&gt;=630001,AH2&lt;=1500000),0.2*(AH2-630000),IF(AND(AH2&gt;=1500001,AH2&lt;=4000000),174000+(AH2-1500000)*0.3,IF(AND(AH2&gt;=4000001,AH2&lt;=8000000),924000+(AH2-4000000)*0.35,IF(AND(AH2&gt;=8000001,AH2&lt;13500000),2324000+(AH2-8000000)*0.37,IF(AH2&gt;13500000,4359000+(AH2-13500000)*0.4))))))</f>
        <v>832800</v>
      </c>
      <c r="AP2" s="54">
        <f t="shared" ref="AP2:AP51" si="18">AO2*AL2</f>
        <v>249840</v>
      </c>
      <c r="AQ2" s="54">
        <f t="shared" ref="AQ2:AQ51" si="19">ROUND(IF(AP2&lt;AM2,(AO2-AM2)/12,IF(AP2&gt;AN2,(AO2-AN2)/12,IF(AND(AP2&gt;AM2,AP2&lt;AN2),(AO2-AP2)/12))),0)</f>
        <v>27733</v>
      </c>
      <c r="AR2" s="54">
        <f t="shared" ref="AR2:AR51" si="20">AC2+AD2+AF2+T2+U2+V2+AQ2</f>
        <v>88404</v>
      </c>
      <c r="AS2" s="54">
        <f t="shared" ref="AS2:AS51" si="21">Z2-AR2</f>
        <v>295383</v>
      </c>
      <c r="AT2" s="54">
        <f t="shared" ref="AT2:AT51" si="22">AS2+W2</f>
        <v>295383</v>
      </c>
      <c r="AU2" s="35">
        <f t="shared" ref="AU2:AU51" ca="1" si="23">DATEDIF(E2,TODAY(),"y")</f>
        <v>36</v>
      </c>
      <c r="AV2" s="35">
        <f>IF(AB2="Cadre",0,X2*donnees!#REF!*1.15)</f>
        <v>0</v>
      </c>
      <c r="AW2" s="35">
        <f>IF(AB2="Cadre",0,X2*donnees!#REF!*1.4)</f>
        <v>0</v>
      </c>
      <c r="AX2" s="35">
        <f>IF(AB2="Cadre",0,X2*donnees!#REF!*1.6)</f>
        <v>0</v>
      </c>
      <c r="AY2" s="35">
        <f>IF(AB2="Cadre",0,X2*donnees!#REF!*2)</f>
        <v>0</v>
      </c>
    </row>
    <row r="3" spans="1:51" x14ac:dyDescent="0.25">
      <c r="A3" s="54">
        <v>2</v>
      </c>
      <c r="B3" s="54" t="s">
        <v>61</v>
      </c>
      <c r="C3" s="54" t="s">
        <v>62</v>
      </c>
      <c r="D3" s="54" t="s">
        <v>63</v>
      </c>
      <c r="E3" s="54" t="s">
        <v>277</v>
      </c>
      <c r="F3" s="54" t="s">
        <v>64</v>
      </c>
      <c r="G3" s="54" t="s">
        <v>50</v>
      </c>
      <c r="H3" s="54" t="s">
        <v>47</v>
      </c>
      <c r="I3" s="54" t="s">
        <v>52</v>
      </c>
      <c r="J3" s="54">
        <v>0</v>
      </c>
      <c r="K3" s="54">
        <v>0</v>
      </c>
      <c r="L3" s="54">
        <v>0</v>
      </c>
      <c r="M3" s="54">
        <v>8</v>
      </c>
      <c r="N3" s="54">
        <v>4</v>
      </c>
      <c r="O3" s="54">
        <v>0</v>
      </c>
      <c r="P3" s="54">
        <v>3</v>
      </c>
      <c r="Q3" s="54">
        <v>15000</v>
      </c>
      <c r="R3" s="54">
        <v>0</v>
      </c>
      <c r="S3" s="54">
        <v>12500</v>
      </c>
      <c r="T3" s="54">
        <v>0</v>
      </c>
      <c r="U3" s="54">
        <v>0</v>
      </c>
      <c r="V3" s="54">
        <v>0</v>
      </c>
      <c r="W3" s="54">
        <v>0</v>
      </c>
      <c r="X3" s="54">
        <f t="shared" si="0"/>
        <v>2020</v>
      </c>
      <c r="Y3" s="54">
        <f t="shared" si="1"/>
        <v>350127</v>
      </c>
      <c r="Z3" s="54">
        <f t="shared" si="2"/>
        <v>395403</v>
      </c>
      <c r="AA3" s="54">
        <f t="shared" si="3"/>
        <v>395403</v>
      </c>
      <c r="AB3" s="54" t="str">
        <f t="shared" si="4"/>
        <v>Cadre</v>
      </c>
      <c r="AC3" s="54">
        <f t="shared" si="5"/>
        <v>20160</v>
      </c>
      <c r="AD3" s="54">
        <f t="shared" si="6"/>
        <v>9490</v>
      </c>
      <c r="AE3" s="54">
        <f t="shared" si="7"/>
        <v>1</v>
      </c>
      <c r="AF3" s="54">
        <f t="shared" si="8"/>
        <v>900</v>
      </c>
      <c r="AG3" s="54">
        <f t="shared" si="9"/>
        <v>4740000</v>
      </c>
      <c r="AH3" s="54">
        <f t="shared" si="10"/>
        <v>3840000</v>
      </c>
      <c r="AI3" s="54">
        <f t="shared" si="11"/>
        <v>900000</v>
      </c>
      <c r="AJ3" s="54">
        <f t="shared" si="12"/>
        <v>1.5</v>
      </c>
      <c r="AK3" s="54">
        <f t="shared" si="13"/>
        <v>1.5</v>
      </c>
      <c r="AL3" s="54">
        <f t="shared" si="14"/>
        <v>0.1</v>
      </c>
      <c r="AM3" s="54">
        <f t="shared" si="15"/>
        <v>100000</v>
      </c>
      <c r="AN3" s="54">
        <f t="shared" si="16"/>
        <v>300000</v>
      </c>
      <c r="AO3" s="54">
        <f t="shared" si="17"/>
        <v>876000</v>
      </c>
      <c r="AP3" s="54">
        <f t="shared" si="18"/>
        <v>87600</v>
      </c>
      <c r="AQ3" s="54">
        <f t="shared" si="19"/>
        <v>64667</v>
      </c>
      <c r="AR3" s="54">
        <f t="shared" si="20"/>
        <v>95217</v>
      </c>
      <c r="AS3" s="54">
        <f t="shared" si="21"/>
        <v>300186</v>
      </c>
      <c r="AT3" s="54">
        <f t="shared" si="22"/>
        <v>300186</v>
      </c>
      <c r="AU3" s="35">
        <f t="shared" ca="1" si="23"/>
        <v>44</v>
      </c>
      <c r="AV3" s="35">
        <f>IF(AB3="Cadre",0,X3*donnees!#REF!*1.15)</f>
        <v>0</v>
      </c>
      <c r="AW3" s="35">
        <f>IF(AB3="Cadre",0,X3*donnees!#REF!*1.4)</f>
        <v>0</v>
      </c>
      <c r="AX3" s="35">
        <f>IF(AB3="Cadre",0,X3*donnees!#REF!*1.6)</f>
        <v>0</v>
      </c>
      <c r="AY3" s="35">
        <f>IF(AB3="Cadre",0,X3*donnees!#REF!*2)</f>
        <v>0</v>
      </c>
    </row>
    <row r="4" spans="1:51" x14ac:dyDescent="0.25">
      <c r="A4" s="54">
        <v>3</v>
      </c>
      <c r="B4" s="54" t="s">
        <v>66</v>
      </c>
      <c r="C4" s="54" t="s">
        <v>67</v>
      </c>
      <c r="D4" s="54" t="s">
        <v>68</v>
      </c>
      <c r="E4" s="54" t="s">
        <v>283</v>
      </c>
      <c r="F4" s="54" t="s">
        <v>69</v>
      </c>
      <c r="G4" s="54" t="s">
        <v>50</v>
      </c>
      <c r="H4" s="54" t="s">
        <v>47</v>
      </c>
      <c r="I4" s="54" t="s">
        <v>51</v>
      </c>
      <c r="J4" s="54">
        <v>2</v>
      </c>
      <c r="K4" s="54">
        <v>6</v>
      </c>
      <c r="L4" s="54">
        <v>0</v>
      </c>
      <c r="M4" s="54">
        <v>0</v>
      </c>
      <c r="N4" s="54">
        <v>0</v>
      </c>
      <c r="O4" s="54">
        <v>6</v>
      </c>
      <c r="P4" s="54">
        <v>2</v>
      </c>
      <c r="Q4" s="54">
        <v>0</v>
      </c>
      <c r="R4" s="54">
        <v>0</v>
      </c>
      <c r="S4" s="54">
        <v>20000</v>
      </c>
      <c r="T4" s="54">
        <v>5000</v>
      </c>
      <c r="U4" s="54">
        <v>0</v>
      </c>
      <c r="V4" s="54">
        <v>0</v>
      </c>
      <c r="W4" s="54">
        <v>0</v>
      </c>
      <c r="X4" s="54">
        <f t="shared" si="0"/>
        <v>2020</v>
      </c>
      <c r="Y4" s="54">
        <f t="shared" si="1"/>
        <v>350127</v>
      </c>
      <c r="Z4" s="54">
        <f t="shared" si="2"/>
        <v>385479</v>
      </c>
      <c r="AA4" s="54">
        <f t="shared" si="3"/>
        <v>385479</v>
      </c>
      <c r="AB4" s="54" t="str">
        <f t="shared" si="4"/>
        <v>Cadre</v>
      </c>
      <c r="AC4" s="54">
        <f t="shared" si="5"/>
        <v>20160</v>
      </c>
      <c r="AD4" s="54">
        <f t="shared" si="6"/>
        <v>9251</v>
      </c>
      <c r="AE4" s="54">
        <f t="shared" si="7"/>
        <v>3</v>
      </c>
      <c r="AF4" s="54">
        <f t="shared" si="8"/>
        <v>2700</v>
      </c>
      <c r="AG4" s="54">
        <f t="shared" si="9"/>
        <v>4620000</v>
      </c>
      <c r="AH4" s="54">
        <f t="shared" si="10"/>
        <v>3720000</v>
      </c>
      <c r="AI4" s="54">
        <f t="shared" si="11"/>
        <v>900000</v>
      </c>
      <c r="AJ4" s="54">
        <f t="shared" si="12"/>
        <v>5.5</v>
      </c>
      <c r="AK4" s="54">
        <f t="shared" si="13"/>
        <v>5</v>
      </c>
      <c r="AL4" s="54">
        <f t="shared" si="14"/>
        <v>0.45</v>
      </c>
      <c r="AM4" s="54">
        <f t="shared" si="15"/>
        <v>800000</v>
      </c>
      <c r="AN4" s="54">
        <f t="shared" si="16"/>
        <v>3180000</v>
      </c>
      <c r="AO4" s="54">
        <f t="shared" si="17"/>
        <v>840000</v>
      </c>
      <c r="AP4" s="54">
        <f t="shared" si="18"/>
        <v>378000</v>
      </c>
      <c r="AQ4" s="54">
        <f t="shared" si="19"/>
        <v>3333</v>
      </c>
      <c r="AR4" s="54">
        <f t="shared" si="20"/>
        <v>40444</v>
      </c>
      <c r="AS4" s="54">
        <f t="shared" si="21"/>
        <v>345035</v>
      </c>
      <c r="AT4" s="54">
        <f t="shared" si="22"/>
        <v>345035</v>
      </c>
      <c r="AU4" s="35">
        <f t="shared" ca="1" si="23"/>
        <v>37</v>
      </c>
      <c r="AV4" s="35">
        <f>IF(AB4="Cadre",0,X4*donnees!#REF!*1.15)</f>
        <v>0</v>
      </c>
      <c r="AW4" s="35">
        <f>IF(AB4="Cadre",0,X4*donnees!#REF!*1.4)</f>
        <v>0</v>
      </c>
      <c r="AX4" s="35">
        <f>IF(AB4="Cadre",0,X4*donnees!#REF!*1.6)</f>
        <v>0</v>
      </c>
      <c r="AY4" s="35">
        <f>IF(AB4="Cadre",0,X4*donnees!#REF!*2)</f>
        <v>0</v>
      </c>
    </row>
    <row r="5" spans="1:51" ht="15.75" x14ac:dyDescent="0.25">
      <c r="A5" s="11">
        <v>4</v>
      </c>
      <c r="B5" s="11" t="s">
        <v>70</v>
      </c>
      <c r="C5" s="11" t="s">
        <v>71</v>
      </c>
      <c r="D5" s="11" t="s">
        <v>72</v>
      </c>
      <c r="E5" s="114">
        <v>29273</v>
      </c>
      <c r="F5" s="11" t="s">
        <v>73</v>
      </c>
      <c r="G5" s="115" t="s">
        <v>50</v>
      </c>
      <c r="H5" s="116" t="s">
        <v>48</v>
      </c>
      <c r="I5" s="11" t="s">
        <v>51</v>
      </c>
      <c r="J5" s="115">
        <v>1</v>
      </c>
      <c r="K5" s="115">
        <v>1</v>
      </c>
      <c r="L5" s="11"/>
      <c r="M5" s="115">
        <v>8</v>
      </c>
      <c r="N5" s="115">
        <v>4</v>
      </c>
      <c r="O5" s="115"/>
      <c r="P5" s="115"/>
      <c r="Q5" s="115">
        <v>10000</v>
      </c>
      <c r="R5" s="115"/>
      <c r="S5" s="115"/>
      <c r="T5" s="11"/>
      <c r="U5" s="115"/>
      <c r="V5" s="54">
        <v>0</v>
      </c>
      <c r="W5" s="54">
        <v>0</v>
      </c>
      <c r="X5" s="54">
        <f t="shared" si="0"/>
        <v>1385</v>
      </c>
      <c r="Y5" s="54">
        <f t="shared" si="1"/>
        <v>240062</v>
      </c>
      <c r="Z5" s="54">
        <f t="shared" si="2"/>
        <v>253940</v>
      </c>
      <c r="AA5" s="54">
        <f t="shared" si="3"/>
        <v>253940</v>
      </c>
      <c r="AB5" s="54" t="str">
        <f t="shared" si="4"/>
        <v>Général</v>
      </c>
      <c r="AC5" s="54">
        <f t="shared" si="5"/>
        <v>14220.64</v>
      </c>
      <c r="AD5" s="54">
        <f t="shared" si="6"/>
        <v>0</v>
      </c>
      <c r="AE5" s="54">
        <f t="shared" si="7"/>
        <v>2</v>
      </c>
      <c r="AF5" s="54">
        <f t="shared" si="8"/>
        <v>1800</v>
      </c>
      <c r="AG5" s="54">
        <f t="shared" si="9"/>
        <v>3036000</v>
      </c>
      <c r="AH5" s="54">
        <f t="shared" si="10"/>
        <v>2136000</v>
      </c>
      <c r="AI5" s="54">
        <f t="shared" si="11"/>
        <v>900000</v>
      </c>
      <c r="AJ5" s="54">
        <f t="shared" si="12"/>
        <v>2.5</v>
      </c>
      <c r="AK5" s="54">
        <f t="shared" si="13"/>
        <v>2.5</v>
      </c>
      <c r="AL5" s="54">
        <f t="shared" si="14"/>
        <v>0.2</v>
      </c>
      <c r="AM5" s="54">
        <f t="shared" si="15"/>
        <v>300000</v>
      </c>
      <c r="AN5" s="54">
        <f t="shared" si="16"/>
        <v>1100000</v>
      </c>
      <c r="AO5" s="54">
        <f t="shared" si="17"/>
        <v>364800</v>
      </c>
      <c r="AP5" s="54">
        <f t="shared" si="18"/>
        <v>72960</v>
      </c>
      <c r="AQ5" s="54">
        <f t="shared" si="19"/>
        <v>5400</v>
      </c>
      <c r="AR5" s="54">
        <f t="shared" si="20"/>
        <v>21420.639999999999</v>
      </c>
      <c r="AS5" s="54">
        <f t="shared" si="21"/>
        <v>232519.36</v>
      </c>
      <c r="AT5" s="54">
        <f t="shared" si="22"/>
        <v>232519.36</v>
      </c>
      <c r="AU5" s="35">
        <f t="shared" ca="1" si="23"/>
        <v>40</v>
      </c>
      <c r="AV5" s="35" t="e">
        <f>IF(AB5="Cadre",0,X5*donnees!#REF!*1.15)</f>
        <v>#REF!</v>
      </c>
      <c r="AW5" s="35" t="e">
        <f>IF(AB5="Cadre",0,X5*donnees!#REF!*1.4)</f>
        <v>#REF!</v>
      </c>
      <c r="AX5" s="35" t="e">
        <f>IF(AB5="Cadre",0,X5*donnees!#REF!*1.6)</f>
        <v>#REF!</v>
      </c>
      <c r="AY5" s="35" t="e">
        <f>IF(AB5="Cadre",0,X5*donnees!#REF!*2)</f>
        <v>#REF!</v>
      </c>
    </row>
    <row r="6" spans="1:51" ht="15.75" x14ac:dyDescent="0.25">
      <c r="A6" s="111">
        <v>5</v>
      </c>
      <c r="B6" s="111" t="s">
        <v>74</v>
      </c>
      <c r="C6" s="111" t="s">
        <v>75</v>
      </c>
      <c r="D6" s="111" t="s">
        <v>76</v>
      </c>
      <c r="E6" s="117">
        <v>30423</v>
      </c>
      <c r="F6" s="111" t="s">
        <v>77</v>
      </c>
      <c r="G6" s="118" t="s">
        <v>50</v>
      </c>
      <c r="H6" s="119" t="s">
        <v>48</v>
      </c>
      <c r="I6" s="111" t="s">
        <v>65</v>
      </c>
      <c r="J6" s="118">
        <v>0</v>
      </c>
      <c r="K6" s="118">
        <v>1</v>
      </c>
      <c r="L6" s="118">
        <v>15000</v>
      </c>
      <c r="M6" s="118">
        <v>8</v>
      </c>
      <c r="N6" s="118">
        <v>4</v>
      </c>
      <c r="O6" s="118">
        <v>4</v>
      </c>
      <c r="P6" s="118">
        <v>2</v>
      </c>
      <c r="Q6" s="118"/>
      <c r="R6" s="118">
        <v>35000</v>
      </c>
      <c r="S6" s="118"/>
      <c r="T6" s="111">
        <v>3500</v>
      </c>
      <c r="U6" s="118">
        <v>30000</v>
      </c>
      <c r="V6" s="118">
        <v>20000</v>
      </c>
      <c r="W6" s="54">
        <v>0</v>
      </c>
      <c r="X6" s="54">
        <f t="shared" si="0"/>
        <v>1385</v>
      </c>
      <c r="Y6" s="54">
        <f t="shared" si="1"/>
        <v>240062</v>
      </c>
      <c r="Z6" s="54">
        <f t="shared" si="2"/>
        <v>267804</v>
      </c>
      <c r="AA6" s="54">
        <f t="shared" si="3"/>
        <v>302804</v>
      </c>
      <c r="AB6" s="54" t="str">
        <f t="shared" si="4"/>
        <v>Général</v>
      </c>
      <c r="AC6" s="54">
        <f t="shared" si="5"/>
        <v>14997.023999999999</v>
      </c>
      <c r="AD6" s="54">
        <f t="shared" si="6"/>
        <v>0</v>
      </c>
      <c r="AE6" s="54" t="b">
        <f t="shared" si="7"/>
        <v>0</v>
      </c>
      <c r="AF6" s="54">
        <f t="shared" si="8"/>
        <v>0</v>
      </c>
      <c r="AG6" s="54">
        <f t="shared" si="9"/>
        <v>3624000</v>
      </c>
      <c r="AH6" s="54">
        <f t="shared" si="10"/>
        <v>2724000</v>
      </c>
      <c r="AI6" s="54">
        <f t="shared" si="11"/>
        <v>900000</v>
      </c>
      <c r="AJ6" s="54" t="b">
        <f t="shared" si="12"/>
        <v>0</v>
      </c>
      <c r="AK6" s="54">
        <f t="shared" si="13"/>
        <v>5</v>
      </c>
      <c r="AL6" s="54">
        <f t="shared" si="14"/>
        <v>0.45</v>
      </c>
      <c r="AM6" s="54">
        <f t="shared" si="15"/>
        <v>800000</v>
      </c>
      <c r="AN6" s="54">
        <f t="shared" si="16"/>
        <v>3180000</v>
      </c>
      <c r="AO6" s="54">
        <f t="shared" si="17"/>
        <v>541200</v>
      </c>
      <c r="AP6" s="54">
        <f t="shared" si="18"/>
        <v>243540</v>
      </c>
      <c r="AQ6" s="54">
        <f t="shared" si="19"/>
        <v>-21567</v>
      </c>
      <c r="AR6" s="54">
        <f t="shared" si="20"/>
        <v>46930.024000000005</v>
      </c>
      <c r="AS6" s="54">
        <f t="shared" si="21"/>
        <v>220873.976</v>
      </c>
      <c r="AT6" s="54">
        <f t="shared" si="22"/>
        <v>220873.976</v>
      </c>
      <c r="AU6" s="35">
        <f t="shared" ca="1" si="23"/>
        <v>37</v>
      </c>
      <c r="AV6" s="35" t="e">
        <f>IF(AB6="Cadre",0,X6*donnees!#REF!*1.15)</f>
        <v>#REF!</v>
      </c>
      <c r="AW6" s="35" t="e">
        <f>IF(AB6="Cadre",0,X6*donnees!#REF!*1.4)</f>
        <v>#REF!</v>
      </c>
      <c r="AX6" s="35" t="e">
        <f>IF(AB6="Cadre",0,X6*donnees!#REF!*1.6)</f>
        <v>#REF!</v>
      </c>
      <c r="AY6" s="35" t="e">
        <f>IF(AB6="Cadre",0,X6*donnees!#REF!*2)</f>
        <v>#REF!</v>
      </c>
    </row>
    <row r="7" spans="1:51" ht="15.75" x14ac:dyDescent="0.25">
      <c r="A7" s="112">
        <v>6</v>
      </c>
      <c r="B7" s="11" t="s">
        <v>78</v>
      </c>
      <c r="C7" s="11" t="s">
        <v>79</v>
      </c>
      <c r="D7" s="11" t="s">
        <v>80</v>
      </c>
      <c r="E7" s="114">
        <v>29138</v>
      </c>
      <c r="F7" s="11" t="s">
        <v>81</v>
      </c>
      <c r="G7" s="115" t="s">
        <v>50</v>
      </c>
      <c r="H7" s="120" t="s">
        <v>48</v>
      </c>
      <c r="I7" s="112" t="s">
        <v>65</v>
      </c>
      <c r="J7" s="115">
        <v>0</v>
      </c>
      <c r="K7" s="115">
        <v>0</v>
      </c>
      <c r="L7" s="112"/>
      <c r="M7" s="121"/>
      <c r="N7" s="121"/>
      <c r="O7" s="121"/>
      <c r="P7" s="121"/>
      <c r="Q7" s="121"/>
      <c r="R7" s="121"/>
      <c r="S7" s="121"/>
      <c r="T7" s="112">
        <v>2500</v>
      </c>
      <c r="U7" s="121"/>
      <c r="V7" s="54">
        <v>0</v>
      </c>
      <c r="W7" s="54">
        <v>0</v>
      </c>
      <c r="X7" s="54">
        <f t="shared" si="0"/>
        <v>1385</v>
      </c>
      <c r="Y7" s="54">
        <f t="shared" si="1"/>
        <v>240062</v>
      </c>
      <c r="Z7" s="54">
        <f t="shared" si="2"/>
        <v>240062</v>
      </c>
      <c r="AA7" s="54">
        <f t="shared" si="3"/>
        <v>240062</v>
      </c>
      <c r="AB7" s="54" t="str">
        <f t="shared" si="4"/>
        <v>Général</v>
      </c>
      <c r="AC7" s="54">
        <f t="shared" si="5"/>
        <v>13443.472</v>
      </c>
      <c r="AD7" s="54">
        <f t="shared" si="6"/>
        <v>0</v>
      </c>
      <c r="AE7" s="54" t="b">
        <f t="shared" si="7"/>
        <v>0</v>
      </c>
      <c r="AF7" s="54">
        <f t="shared" si="8"/>
        <v>0</v>
      </c>
      <c r="AG7" s="54">
        <f t="shared" si="9"/>
        <v>2880000</v>
      </c>
      <c r="AH7" s="54">
        <f t="shared" si="10"/>
        <v>2016000</v>
      </c>
      <c r="AI7" s="54">
        <f t="shared" si="11"/>
        <v>864000</v>
      </c>
      <c r="AJ7" s="54" t="b">
        <f t="shared" si="12"/>
        <v>0</v>
      </c>
      <c r="AK7" s="54">
        <f t="shared" si="13"/>
        <v>5</v>
      </c>
      <c r="AL7" s="54">
        <f t="shared" si="14"/>
        <v>0.45</v>
      </c>
      <c r="AM7" s="54">
        <f t="shared" si="15"/>
        <v>800000</v>
      </c>
      <c r="AN7" s="54">
        <f t="shared" si="16"/>
        <v>3180000</v>
      </c>
      <c r="AO7" s="54">
        <f t="shared" si="17"/>
        <v>328800</v>
      </c>
      <c r="AP7" s="54">
        <f t="shared" si="18"/>
        <v>147960</v>
      </c>
      <c r="AQ7" s="54">
        <f t="shared" si="19"/>
        <v>-39267</v>
      </c>
      <c r="AR7" s="54">
        <f t="shared" si="20"/>
        <v>-23323.527999999998</v>
      </c>
      <c r="AS7" s="54">
        <f t="shared" si="21"/>
        <v>263385.52799999999</v>
      </c>
      <c r="AT7" s="54">
        <f t="shared" si="22"/>
        <v>263385.52799999999</v>
      </c>
      <c r="AU7" s="35">
        <f t="shared" ca="1" si="23"/>
        <v>40</v>
      </c>
      <c r="AV7" s="35" t="e">
        <f>IF(AB7="Cadre",0,X7*donnees!#REF!*1.15)</f>
        <v>#REF!</v>
      </c>
      <c r="AW7" s="35" t="e">
        <f>IF(AB7="Cadre",0,X7*donnees!#REF!*1.4)</f>
        <v>#REF!</v>
      </c>
      <c r="AX7" s="35" t="e">
        <f>IF(AB7="Cadre",0,X7*donnees!#REF!*1.6)</f>
        <v>#REF!</v>
      </c>
      <c r="AY7" s="35" t="e">
        <f>IF(AB7="Cadre",0,X7*donnees!#REF!*2)</f>
        <v>#REF!</v>
      </c>
    </row>
    <row r="8" spans="1:51" ht="15.75" x14ac:dyDescent="0.25">
      <c r="A8" s="113">
        <v>7</v>
      </c>
      <c r="B8" s="111" t="s">
        <v>82</v>
      </c>
      <c r="C8" s="111" t="s">
        <v>83</v>
      </c>
      <c r="D8" s="111" t="s">
        <v>84</v>
      </c>
      <c r="E8" s="117">
        <v>29982</v>
      </c>
      <c r="F8" s="111" t="s">
        <v>85</v>
      </c>
      <c r="G8" s="118" t="s">
        <v>49</v>
      </c>
      <c r="H8" s="122" t="s">
        <v>46</v>
      </c>
      <c r="I8" s="113" t="s">
        <v>51</v>
      </c>
      <c r="J8" s="118">
        <v>0</v>
      </c>
      <c r="K8" s="118">
        <v>4</v>
      </c>
      <c r="L8" s="113"/>
      <c r="M8" s="123"/>
      <c r="N8" s="123"/>
      <c r="O8" s="123"/>
      <c r="P8" s="123"/>
      <c r="Q8" s="123">
        <v>10000</v>
      </c>
      <c r="R8" s="123">
        <v>60000</v>
      </c>
      <c r="S8" s="123"/>
      <c r="T8" s="113"/>
      <c r="U8" s="123"/>
      <c r="V8" s="54">
        <v>0</v>
      </c>
      <c r="W8" s="54">
        <v>0</v>
      </c>
      <c r="X8" s="54">
        <f t="shared" si="0"/>
        <v>2711</v>
      </c>
      <c r="Y8" s="54">
        <f t="shared" si="1"/>
        <v>469898</v>
      </c>
      <c r="Z8" s="54">
        <f t="shared" si="2"/>
        <v>479898</v>
      </c>
      <c r="AA8" s="54">
        <f t="shared" si="3"/>
        <v>539898</v>
      </c>
      <c r="AB8" s="54" t="str">
        <f t="shared" si="4"/>
        <v>Cadre</v>
      </c>
      <c r="AC8" s="54">
        <f t="shared" si="5"/>
        <v>20160</v>
      </c>
      <c r="AD8" s="54">
        <f t="shared" si="6"/>
        <v>11518</v>
      </c>
      <c r="AE8" s="54">
        <f t="shared" si="7"/>
        <v>1</v>
      </c>
      <c r="AF8" s="54">
        <f t="shared" si="8"/>
        <v>900</v>
      </c>
      <c r="AG8" s="54">
        <f t="shared" si="9"/>
        <v>6468000</v>
      </c>
      <c r="AH8" s="54">
        <f t="shared" si="10"/>
        <v>5568000</v>
      </c>
      <c r="AI8" s="54">
        <f t="shared" si="11"/>
        <v>900000</v>
      </c>
      <c r="AJ8" s="54">
        <f t="shared" si="12"/>
        <v>3.5</v>
      </c>
      <c r="AK8" s="54">
        <f t="shared" si="13"/>
        <v>3.5</v>
      </c>
      <c r="AL8" s="54">
        <f t="shared" si="14"/>
        <v>0.3</v>
      </c>
      <c r="AM8" s="54">
        <f t="shared" si="15"/>
        <v>500000</v>
      </c>
      <c r="AN8" s="54">
        <f t="shared" si="16"/>
        <v>2030000</v>
      </c>
      <c r="AO8" s="54">
        <f t="shared" si="17"/>
        <v>1472800</v>
      </c>
      <c r="AP8" s="54">
        <f t="shared" si="18"/>
        <v>441840</v>
      </c>
      <c r="AQ8" s="54">
        <f t="shared" si="19"/>
        <v>81067</v>
      </c>
      <c r="AR8" s="54">
        <f t="shared" si="20"/>
        <v>113645</v>
      </c>
      <c r="AS8" s="54">
        <f t="shared" si="21"/>
        <v>366253</v>
      </c>
      <c r="AT8" s="54">
        <f t="shared" si="22"/>
        <v>366253</v>
      </c>
      <c r="AU8" s="35">
        <f t="shared" ca="1" si="23"/>
        <v>38</v>
      </c>
      <c r="AV8" s="35">
        <f>IF(AB8="Cadre",0,X8*donnees!#REF!*1.15)</f>
        <v>0</v>
      </c>
      <c r="AW8" s="35">
        <f>IF(AB8="Cadre",0,X8*donnees!#REF!*1.4)</f>
        <v>0</v>
      </c>
      <c r="AX8" s="35">
        <f>IF(AB8="Cadre",0,X8*donnees!#REF!*1.6)</f>
        <v>0</v>
      </c>
      <c r="AY8" s="35">
        <f>IF(AB8="Cadre",0,X8*donnees!#REF!*2)</f>
        <v>0</v>
      </c>
    </row>
    <row r="9" spans="1:51" ht="15.75" x14ac:dyDescent="0.25">
      <c r="A9" s="11">
        <v>8</v>
      </c>
      <c r="B9" s="11" t="s">
        <v>86</v>
      </c>
      <c r="C9" s="11" t="s">
        <v>87</v>
      </c>
      <c r="D9" s="11" t="s">
        <v>88</v>
      </c>
      <c r="E9" s="114">
        <v>27684</v>
      </c>
      <c r="F9" s="11" t="s">
        <v>60</v>
      </c>
      <c r="G9" s="115" t="s">
        <v>49</v>
      </c>
      <c r="H9" s="122" t="s">
        <v>46</v>
      </c>
      <c r="I9" s="112" t="s">
        <v>65</v>
      </c>
      <c r="J9" s="115">
        <v>3</v>
      </c>
      <c r="K9" s="115">
        <v>0</v>
      </c>
      <c r="L9" s="112"/>
      <c r="M9" s="121"/>
      <c r="N9" s="121"/>
      <c r="O9" s="121"/>
      <c r="P9" s="121"/>
      <c r="Q9" s="121"/>
      <c r="R9" s="121"/>
      <c r="S9" s="121"/>
      <c r="T9" s="112">
        <v>3000</v>
      </c>
      <c r="U9" s="121"/>
      <c r="V9" s="54">
        <v>0</v>
      </c>
      <c r="W9" s="54">
        <v>0</v>
      </c>
      <c r="X9" s="54">
        <f t="shared" si="0"/>
        <v>2711</v>
      </c>
      <c r="Y9" s="54">
        <f t="shared" si="1"/>
        <v>469898</v>
      </c>
      <c r="Z9" s="54">
        <f t="shared" si="2"/>
        <v>469898</v>
      </c>
      <c r="AA9" s="54">
        <f t="shared" si="3"/>
        <v>469898</v>
      </c>
      <c r="AB9" s="54" t="str">
        <f t="shared" si="4"/>
        <v>Cadre</v>
      </c>
      <c r="AC9" s="54">
        <f t="shared" si="5"/>
        <v>20160</v>
      </c>
      <c r="AD9" s="54">
        <f t="shared" si="6"/>
        <v>11278</v>
      </c>
      <c r="AE9" s="54" t="b">
        <f t="shared" si="7"/>
        <v>0</v>
      </c>
      <c r="AF9" s="54">
        <f t="shared" si="8"/>
        <v>0</v>
      </c>
      <c r="AG9" s="54">
        <f t="shared" si="9"/>
        <v>5628000</v>
      </c>
      <c r="AH9" s="54">
        <f t="shared" si="10"/>
        <v>4728000</v>
      </c>
      <c r="AI9" s="54">
        <f t="shared" si="11"/>
        <v>900000</v>
      </c>
      <c r="AJ9" s="54" t="b">
        <f t="shared" si="12"/>
        <v>0</v>
      </c>
      <c r="AK9" s="54">
        <f t="shared" si="13"/>
        <v>5</v>
      </c>
      <c r="AL9" s="54">
        <f t="shared" si="14"/>
        <v>0.45</v>
      </c>
      <c r="AM9" s="54">
        <f t="shared" si="15"/>
        <v>800000</v>
      </c>
      <c r="AN9" s="54">
        <f t="shared" si="16"/>
        <v>3180000</v>
      </c>
      <c r="AO9" s="54">
        <f t="shared" si="17"/>
        <v>1178800</v>
      </c>
      <c r="AP9" s="54">
        <f t="shared" si="18"/>
        <v>530460</v>
      </c>
      <c r="AQ9" s="54">
        <f t="shared" si="19"/>
        <v>31567</v>
      </c>
      <c r="AR9" s="54">
        <f t="shared" si="20"/>
        <v>66005</v>
      </c>
      <c r="AS9" s="54">
        <f t="shared" si="21"/>
        <v>403893</v>
      </c>
      <c r="AT9" s="54">
        <f t="shared" si="22"/>
        <v>403893</v>
      </c>
      <c r="AU9" s="35">
        <f t="shared" ca="1" si="23"/>
        <v>44</v>
      </c>
      <c r="AV9" s="35">
        <f>IF(AB9="Cadre",0,X9*donnees!#REF!*1.15)</f>
        <v>0</v>
      </c>
      <c r="AW9" s="35">
        <f>IF(AB9="Cadre",0,X9*donnees!#REF!*1.4)</f>
        <v>0</v>
      </c>
      <c r="AX9" s="35">
        <f>IF(AB9="Cadre",0,X9*donnees!#REF!*1.6)</f>
        <v>0</v>
      </c>
      <c r="AY9" s="35">
        <f>IF(AB9="Cadre",0,X9*donnees!#REF!*2)</f>
        <v>0</v>
      </c>
    </row>
    <row r="10" spans="1:51" ht="15.75" x14ac:dyDescent="0.25">
      <c r="A10" s="111">
        <v>9</v>
      </c>
      <c r="B10" s="111" t="s">
        <v>89</v>
      </c>
      <c r="C10" s="111" t="s">
        <v>90</v>
      </c>
      <c r="D10" s="111" t="s">
        <v>88</v>
      </c>
      <c r="E10" s="117">
        <v>29466</v>
      </c>
      <c r="F10" s="111" t="s">
        <v>85</v>
      </c>
      <c r="G10" s="118" t="s">
        <v>50</v>
      </c>
      <c r="H10" s="122" t="s">
        <v>46</v>
      </c>
      <c r="I10" s="113" t="s">
        <v>51</v>
      </c>
      <c r="J10" s="118">
        <v>0</v>
      </c>
      <c r="K10" s="118">
        <v>8</v>
      </c>
      <c r="L10" s="113"/>
      <c r="M10" s="123"/>
      <c r="N10" s="123"/>
      <c r="O10" s="123"/>
      <c r="P10" s="123"/>
      <c r="Q10" s="123"/>
      <c r="R10" s="123">
        <v>37500</v>
      </c>
      <c r="S10" s="123"/>
      <c r="T10" s="113">
        <v>3000</v>
      </c>
      <c r="U10" s="123">
        <v>55000</v>
      </c>
      <c r="V10" s="54">
        <v>0</v>
      </c>
      <c r="W10" s="54">
        <v>0</v>
      </c>
      <c r="X10" s="54">
        <f t="shared" si="0"/>
        <v>2711</v>
      </c>
      <c r="Y10" s="54">
        <f t="shared" si="1"/>
        <v>469898</v>
      </c>
      <c r="Z10" s="54">
        <f t="shared" si="2"/>
        <v>469898</v>
      </c>
      <c r="AA10" s="54">
        <f t="shared" si="3"/>
        <v>507398</v>
      </c>
      <c r="AB10" s="54" t="str">
        <f t="shared" si="4"/>
        <v>Cadre</v>
      </c>
      <c r="AC10" s="54">
        <f t="shared" si="5"/>
        <v>20160</v>
      </c>
      <c r="AD10" s="54">
        <f t="shared" si="6"/>
        <v>11278</v>
      </c>
      <c r="AE10" s="54">
        <f t="shared" si="7"/>
        <v>1</v>
      </c>
      <c r="AF10" s="54">
        <f t="shared" si="8"/>
        <v>900</v>
      </c>
      <c r="AG10" s="54">
        <f t="shared" si="9"/>
        <v>6084000</v>
      </c>
      <c r="AH10" s="54">
        <f t="shared" si="10"/>
        <v>5184000</v>
      </c>
      <c r="AI10" s="54">
        <f t="shared" si="11"/>
        <v>900000</v>
      </c>
      <c r="AJ10" s="54">
        <f t="shared" si="12"/>
        <v>5.5</v>
      </c>
      <c r="AK10" s="54">
        <f t="shared" si="13"/>
        <v>5</v>
      </c>
      <c r="AL10" s="54">
        <f t="shared" si="14"/>
        <v>0.45</v>
      </c>
      <c r="AM10" s="54">
        <f t="shared" si="15"/>
        <v>800000</v>
      </c>
      <c r="AN10" s="54">
        <f t="shared" si="16"/>
        <v>3180000</v>
      </c>
      <c r="AO10" s="54">
        <f t="shared" si="17"/>
        <v>1338400</v>
      </c>
      <c r="AP10" s="54">
        <f t="shared" si="18"/>
        <v>602280</v>
      </c>
      <c r="AQ10" s="54">
        <f t="shared" si="19"/>
        <v>44867</v>
      </c>
      <c r="AR10" s="54">
        <f t="shared" si="20"/>
        <v>135205</v>
      </c>
      <c r="AS10" s="54">
        <f t="shared" si="21"/>
        <v>334693</v>
      </c>
      <c r="AT10" s="54">
        <f t="shared" si="22"/>
        <v>334693</v>
      </c>
      <c r="AU10" s="35">
        <f t="shared" ca="1" si="23"/>
        <v>39</v>
      </c>
      <c r="AV10" s="35">
        <f>IF(AB10="Cadre",0,X10*donnees!#REF!*1.15)</f>
        <v>0</v>
      </c>
      <c r="AW10" s="35">
        <f>IF(AB10="Cadre",0,X10*donnees!#REF!*1.4)</f>
        <v>0</v>
      </c>
      <c r="AX10" s="35">
        <f>IF(AB10="Cadre",0,X10*donnees!#REF!*1.6)</f>
        <v>0</v>
      </c>
      <c r="AY10" s="35">
        <f>IF(AB10="Cadre",0,X10*donnees!#REF!*2)</f>
        <v>0</v>
      </c>
    </row>
    <row r="11" spans="1:51" ht="15.75" x14ac:dyDescent="0.25">
      <c r="A11" s="11">
        <v>10</v>
      </c>
      <c r="B11" s="11" t="s">
        <v>91</v>
      </c>
      <c r="C11" s="11" t="s">
        <v>92</v>
      </c>
      <c r="D11" s="11" t="s">
        <v>93</v>
      </c>
      <c r="E11" s="114">
        <v>27888</v>
      </c>
      <c r="F11" s="11" t="s">
        <v>94</v>
      </c>
      <c r="G11" s="115" t="s">
        <v>50</v>
      </c>
      <c r="H11" s="122" t="s">
        <v>46</v>
      </c>
      <c r="I11" s="112" t="s">
        <v>65</v>
      </c>
      <c r="J11" s="115">
        <v>0</v>
      </c>
      <c r="K11" s="115">
        <v>0</v>
      </c>
      <c r="L11" s="112"/>
      <c r="M11" s="121"/>
      <c r="N11" s="121"/>
      <c r="O11" s="121"/>
      <c r="P11" s="121"/>
      <c r="Q11" s="121"/>
      <c r="R11" s="121">
        <v>50000</v>
      </c>
      <c r="S11" s="121"/>
      <c r="T11" s="112"/>
      <c r="U11" s="121"/>
      <c r="V11" s="54">
        <v>0</v>
      </c>
      <c r="W11" s="54">
        <v>0</v>
      </c>
      <c r="X11" s="54">
        <f t="shared" si="0"/>
        <v>2711</v>
      </c>
      <c r="Y11" s="54">
        <f t="shared" si="1"/>
        <v>469898</v>
      </c>
      <c r="Z11" s="54">
        <f t="shared" si="2"/>
        <v>469898</v>
      </c>
      <c r="AA11" s="54">
        <f t="shared" si="3"/>
        <v>519898</v>
      </c>
      <c r="AB11" s="54" t="str">
        <f t="shared" si="4"/>
        <v>Cadre</v>
      </c>
      <c r="AC11" s="54">
        <f t="shared" si="5"/>
        <v>20160</v>
      </c>
      <c r="AD11" s="54">
        <f t="shared" si="6"/>
        <v>11278</v>
      </c>
      <c r="AE11" s="54" t="b">
        <f t="shared" si="7"/>
        <v>0</v>
      </c>
      <c r="AF11" s="54">
        <f t="shared" si="8"/>
        <v>0</v>
      </c>
      <c r="AG11" s="54">
        <f t="shared" si="9"/>
        <v>6228000</v>
      </c>
      <c r="AH11" s="54">
        <f t="shared" si="10"/>
        <v>5328000</v>
      </c>
      <c r="AI11" s="54">
        <f t="shared" si="11"/>
        <v>900000</v>
      </c>
      <c r="AJ11" s="54" t="b">
        <f t="shared" si="12"/>
        <v>0</v>
      </c>
      <c r="AK11" s="54">
        <f t="shared" si="13"/>
        <v>5</v>
      </c>
      <c r="AL11" s="54">
        <f t="shared" si="14"/>
        <v>0.45</v>
      </c>
      <c r="AM11" s="54">
        <f t="shared" si="15"/>
        <v>800000</v>
      </c>
      <c r="AN11" s="54">
        <f t="shared" si="16"/>
        <v>3180000</v>
      </c>
      <c r="AO11" s="54">
        <f t="shared" si="17"/>
        <v>1388800</v>
      </c>
      <c r="AP11" s="54">
        <f t="shared" si="18"/>
        <v>624960</v>
      </c>
      <c r="AQ11" s="54">
        <f t="shared" si="19"/>
        <v>49067</v>
      </c>
      <c r="AR11" s="54">
        <f t="shared" si="20"/>
        <v>80505</v>
      </c>
      <c r="AS11" s="54">
        <f t="shared" si="21"/>
        <v>389393</v>
      </c>
      <c r="AT11" s="54">
        <f t="shared" si="22"/>
        <v>389393</v>
      </c>
      <c r="AU11" s="35">
        <f t="shared" ca="1" si="23"/>
        <v>44</v>
      </c>
      <c r="AV11" s="35">
        <f>IF(AB11="Cadre",0,X11*donnees!#REF!*1.15)</f>
        <v>0</v>
      </c>
      <c r="AW11" s="35">
        <f>IF(AB11="Cadre",0,X11*donnees!#REF!*1.4)</f>
        <v>0</v>
      </c>
      <c r="AX11" s="35">
        <f>IF(AB11="Cadre",0,X11*donnees!#REF!*1.6)</f>
        <v>0</v>
      </c>
      <c r="AY11" s="35">
        <f>IF(AB11="Cadre",0,X11*donnees!#REF!*2)</f>
        <v>0</v>
      </c>
    </row>
    <row r="12" spans="1:51" ht="15.75" x14ac:dyDescent="0.25">
      <c r="A12" s="111">
        <v>11</v>
      </c>
      <c r="B12" s="111" t="s">
        <v>95</v>
      </c>
      <c r="C12" s="111" t="s">
        <v>96</v>
      </c>
      <c r="D12" s="111" t="s">
        <v>97</v>
      </c>
      <c r="E12" s="117">
        <v>28363</v>
      </c>
      <c r="F12" s="111" t="s">
        <v>98</v>
      </c>
      <c r="G12" s="118" t="s">
        <v>49</v>
      </c>
      <c r="H12" s="124" t="s">
        <v>47</v>
      </c>
      <c r="I12" s="113" t="s">
        <v>65</v>
      </c>
      <c r="J12" s="118">
        <v>0</v>
      </c>
      <c r="K12" s="118">
        <v>0</v>
      </c>
      <c r="L12" s="113"/>
      <c r="M12" s="123">
        <v>8</v>
      </c>
      <c r="N12" s="123"/>
      <c r="O12" s="123">
        <v>3</v>
      </c>
      <c r="P12" s="123">
        <v>2</v>
      </c>
      <c r="Q12" s="123"/>
      <c r="R12" s="123"/>
      <c r="S12" s="123">
        <v>25000</v>
      </c>
      <c r="T12" s="113">
        <v>3000</v>
      </c>
      <c r="U12" s="123"/>
      <c r="V12" s="54">
        <v>0</v>
      </c>
      <c r="W12" s="54">
        <v>0</v>
      </c>
      <c r="X12" s="54">
        <f t="shared" si="0"/>
        <v>2020</v>
      </c>
      <c r="Y12" s="54">
        <f t="shared" si="1"/>
        <v>350127</v>
      </c>
      <c r="Z12" s="54">
        <f t="shared" si="2"/>
        <v>389267</v>
      </c>
      <c r="AA12" s="54">
        <f t="shared" si="3"/>
        <v>389267</v>
      </c>
      <c r="AB12" s="54" t="str">
        <f t="shared" si="4"/>
        <v>Cadre</v>
      </c>
      <c r="AC12" s="54">
        <f t="shared" si="5"/>
        <v>20160</v>
      </c>
      <c r="AD12" s="54">
        <f t="shared" si="6"/>
        <v>9342</v>
      </c>
      <c r="AE12" s="54" t="b">
        <f t="shared" si="7"/>
        <v>0</v>
      </c>
      <c r="AF12" s="54">
        <f t="shared" si="8"/>
        <v>0</v>
      </c>
      <c r="AG12" s="54">
        <f t="shared" si="9"/>
        <v>4668000</v>
      </c>
      <c r="AH12" s="54">
        <f t="shared" si="10"/>
        <v>3768000</v>
      </c>
      <c r="AI12" s="54">
        <f t="shared" si="11"/>
        <v>900000</v>
      </c>
      <c r="AJ12" s="54" t="b">
        <f t="shared" si="12"/>
        <v>0</v>
      </c>
      <c r="AK12" s="54">
        <f t="shared" si="13"/>
        <v>5</v>
      </c>
      <c r="AL12" s="54">
        <f t="shared" si="14"/>
        <v>0.45</v>
      </c>
      <c r="AM12" s="54">
        <f t="shared" si="15"/>
        <v>800000</v>
      </c>
      <c r="AN12" s="54">
        <f t="shared" si="16"/>
        <v>3180000</v>
      </c>
      <c r="AO12" s="54">
        <f t="shared" si="17"/>
        <v>854400</v>
      </c>
      <c r="AP12" s="54">
        <f t="shared" si="18"/>
        <v>384480</v>
      </c>
      <c r="AQ12" s="54">
        <f t="shared" si="19"/>
        <v>4533</v>
      </c>
      <c r="AR12" s="54">
        <f t="shared" si="20"/>
        <v>37035</v>
      </c>
      <c r="AS12" s="54">
        <f t="shared" si="21"/>
        <v>352232</v>
      </c>
      <c r="AT12" s="54">
        <f t="shared" si="22"/>
        <v>352232</v>
      </c>
      <c r="AU12" s="35">
        <f t="shared" ca="1" si="23"/>
        <v>42</v>
      </c>
      <c r="AV12" s="35">
        <f>IF(AB12="Cadre",0,X12*donnees!#REF!*1.15)</f>
        <v>0</v>
      </c>
      <c r="AW12" s="35">
        <f>IF(AB12="Cadre",0,X12*donnees!#REF!*1.4)</f>
        <v>0</v>
      </c>
      <c r="AX12" s="35">
        <f>IF(AB12="Cadre",0,X12*donnees!#REF!*1.6)</f>
        <v>0</v>
      </c>
      <c r="AY12" s="35">
        <f>IF(AB12="Cadre",0,X12*donnees!#REF!*2)</f>
        <v>0</v>
      </c>
    </row>
    <row r="13" spans="1:51" ht="15.75" x14ac:dyDescent="0.25">
      <c r="A13" s="11">
        <v>12</v>
      </c>
      <c r="B13" s="11" t="s">
        <v>99</v>
      </c>
      <c r="C13" s="11" t="s">
        <v>100</v>
      </c>
      <c r="D13" s="11" t="s">
        <v>101</v>
      </c>
      <c r="E13" s="114">
        <v>29055</v>
      </c>
      <c r="F13" s="11" t="s">
        <v>102</v>
      </c>
      <c r="G13" s="115" t="s">
        <v>50</v>
      </c>
      <c r="H13" s="124" t="s">
        <v>47</v>
      </c>
      <c r="I13" s="112" t="s">
        <v>65</v>
      </c>
      <c r="J13" s="115">
        <v>0</v>
      </c>
      <c r="K13" s="115">
        <v>0</v>
      </c>
      <c r="L13" s="112"/>
      <c r="M13" s="121"/>
      <c r="N13" s="121"/>
      <c r="O13" s="121">
        <v>2</v>
      </c>
      <c r="P13" s="121"/>
      <c r="Q13" s="121"/>
      <c r="R13" s="121"/>
      <c r="S13" s="121"/>
      <c r="T13" s="112"/>
      <c r="U13" s="121">
        <v>17500</v>
      </c>
      <c r="V13" s="54">
        <v>0</v>
      </c>
      <c r="W13" s="54">
        <v>0</v>
      </c>
      <c r="X13" s="54">
        <f t="shared" si="0"/>
        <v>2020</v>
      </c>
      <c r="Y13" s="54">
        <f t="shared" si="1"/>
        <v>350127</v>
      </c>
      <c r="Z13" s="54">
        <f t="shared" si="2"/>
        <v>352551</v>
      </c>
      <c r="AA13" s="54">
        <f t="shared" si="3"/>
        <v>352551</v>
      </c>
      <c r="AB13" s="54" t="str">
        <f t="shared" si="4"/>
        <v>Général</v>
      </c>
      <c r="AC13" s="54">
        <f t="shared" si="5"/>
        <v>19742.856</v>
      </c>
      <c r="AD13" s="54">
        <f t="shared" si="6"/>
        <v>0</v>
      </c>
      <c r="AE13" s="54" t="b">
        <f t="shared" si="7"/>
        <v>0</v>
      </c>
      <c r="AF13" s="54">
        <f t="shared" si="8"/>
        <v>0</v>
      </c>
      <c r="AG13" s="54">
        <f t="shared" si="9"/>
        <v>4224000</v>
      </c>
      <c r="AH13" s="54">
        <f t="shared" si="10"/>
        <v>3324000</v>
      </c>
      <c r="AI13" s="54">
        <f t="shared" si="11"/>
        <v>900000</v>
      </c>
      <c r="AJ13" s="54" t="b">
        <f t="shared" si="12"/>
        <v>0</v>
      </c>
      <c r="AK13" s="54">
        <f t="shared" si="13"/>
        <v>5</v>
      </c>
      <c r="AL13" s="54">
        <f t="shared" si="14"/>
        <v>0.45</v>
      </c>
      <c r="AM13" s="54">
        <f t="shared" si="15"/>
        <v>800000</v>
      </c>
      <c r="AN13" s="54">
        <f t="shared" si="16"/>
        <v>3180000</v>
      </c>
      <c r="AO13" s="54">
        <f t="shared" si="17"/>
        <v>721200</v>
      </c>
      <c r="AP13" s="54">
        <f t="shared" si="18"/>
        <v>324540</v>
      </c>
      <c r="AQ13" s="54">
        <f t="shared" si="19"/>
        <v>-6567</v>
      </c>
      <c r="AR13" s="54">
        <f t="shared" si="20"/>
        <v>30675.856</v>
      </c>
      <c r="AS13" s="54">
        <f t="shared" si="21"/>
        <v>321875.14399999997</v>
      </c>
      <c r="AT13" s="54">
        <f t="shared" si="22"/>
        <v>321875.14399999997</v>
      </c>
      <c r="AU13" s="35">
        <f t="shared" ca="1" si="23"/>
        <v>40</v>
      </c>
      <c r="AV13" s="35" t="e">
        <f>IF(AB13="Cadre",0,X13*donnees!#REF!*1.15)</f>
        <v>#REF!</v>
      </c>
      <c r="AW13" s="35" t="e">
        <f>IF(AB13="Cadre",0,X13*donnees!#REF!*1.4)</f>
        <v>#REF!</v>
      </c>
      <c r="AX13" s="35" t="e">
        <f>IF(AB13="Cadre",0,X13*donnees!#REF!*1.6)</f>
        <v>#REF!</v>
      </c>
      <c r="AY13" s="35" t="e">
        <f>IF(AB13="Cadre",0,X13*donnees!#REF!*2)</f>
        <v>#REF!</v>
      </c>
    </row>
    <row r="14" spans="1:51" ht="15.75" x14ac:dyDescent="0.25">
      <c r="A14" s="111">
        <v>13</v>
      </c>
      <c r="B14" s="111" t="s">
        <v>103</v>
      </c>
      <c r="C14" s="111" t="s">
        <v>104</v>
      </c>
      <c r="D14" s="111" t="s">
        <v>105</v>
      </c>
      <c r="E14" s="117">
        <v>30224</v>
      </c>
      <c r="F14" s="111" t="s">
        <v>106</v>
      </c>
      <c r="G14" s="118" t="s">
        <v>49</v>
      </c>
      <c r="H14" s="124" t="s">
        <v>47</v>
      </c>
      <c r="I14" s="113" t="s">
        <v>65</v>
      </c>
      <c r="J14" s="118">
        <v>0</v>
      </c>
      <c r="K14" s="118">
        <v>1</v>
      </c>
      <c r="L14" s="113"/>
      <c r="M14" s="123">
        <v>8</v>
      </c>
      <c r="N14" s="123">
        <v>5</v>
      </c>
      <c r="O14" s="123">
        <v>3</v>
      </c>
      <c r="P14" s="123">
        <v>3</v>
      </c>
      <c r="Q14" s="123"/>
      <c r="R14" s="123"/>
      <c r="S14" s="123">
        <v>17000</v>
      </c>
      <c r="T14" s="123">
        <v>3000</v>
      </c>
      <c r="U14" s="123"/>
      <c r="V14" s="123">
        <v>15000</v>
      </c>
      <c r="W14" s="54">
        <v>0</v>
      </c>
      <c r="X14" s="54">
        <f t="shared" si="0"/>
        <v>2020</v>
      </c>
      <c r="Y14" s="54">
        <f t="shared" si="1"/>
        <v>350127</v>
      </c>
      <c r="Z14" s="54">
        <f t="shared" si="2"/>
        <v>389347</v>
      </c>
      <c r="AA14" s="54">
        <f t="shared" si="3"/>
        <v>389347</v>
      </c>
      <c r="AB14" s="54" t="str">
        <f t="shared" si="4"/>
        <v>Cadre</v>
      </c>
      <c r="AC14" s="54">
        <f t="shared" si="5"/>
        <v>20160</v>
      </c>
      <c r="AD14" s="54">
        <f t="shared" si="6"/>
        <v>9344</v>
      </c>
      <c r="AE14" s="54" t="b">
        <f t="shared" si="7"/>
        <v>0</v>
      </c>
      <c r="AF14" s="54">
        <f t="shared" si="8"/>
        <v>0</v>
      </c>
      <c r="AG14" s="54">
        <f t="shared" si="9"/>
        <v>4668000</v>
      </c>
      <c r="AH14" s="54">
        <f t="shared" si="10"/>
        <v>3768000</v>
      </c>
      <c r="AI14" s="54">
        <f t="shared" si="11"/>
        <v>900000</v>
      </c>
      <c r="AJ14" s="54" t="b">
        <f t="shared" si="12"/>
        <v>0</v>
      </c>
      <c r="AK14" s="54">
        <f t="shared" si="13"/>
        <v>5</v>
      </c>
      <c r="AL14" s="54">
        <f t="shared" si="14"/>
        <v>0.45</v>
      </c>
      <c r="AM14" s="54">
        <f t="shared" si="15"/>
        <v>800000</v>
      </c>
      <c r="AN14" s="54">
        <f t="shared" si="16"/>
        <v>3180000</v>
      </c>
      <c r="AO14" s="54">
        <f t="shared" si="17"/>
        <v>854400</v>
      </c>
      <c r="AP14" s="54">
        <f t="shared" si="18"/>
        <v>384480</v>
      </c>
      <c r="AQ14" s="54">
        <f t="shared" si="19"/>
        <v>4533</v>
      </c>
      <c r="AR14" s="54">
        <f t="shared" si="20"/>
        <v>52037</v>
      </c>
      <c r="AS14" s="54">
        <f t="shared" si="21"/>
        <v>337310</v>
      </c>
      <c r="AT14" s="54">
        <f t="shared" si="22"/>
        <v>337310</v>
      </c>
      <c r="AU14" s="35">
        <f t="shared" ca="1" si="23"/>
        <v>37</v>
      </c>
      <c r="AV14" s="35">
        <f>IF(AB14="Cadre",0,X14*donnees!#REF!*1.15)</f>
        <v>0</v>
      </c>
      <c r="AW14" s="35">
        <f>IF(AB14="Cadre",0,X14*donnees!#REF!*1.4)</f>
        <v>0</v>
      </c>
      <c r="AX14" s="35">
        <f>IF(AB14="Cadre",0,X14*donnees!#REF!*1.6)</f>
        <v>0</v>
      </c>
      <c r="AY14" s="35">
        <f>IF(AB14="Cadre",0,X14*donnees!#REF!*2)</f>
        <v>0</v>
      </c>
    </row>
    <row r="15" spans="1:51" ht="15.75" x14ac:dyDescent="0.25">
      <c r="A15" s="11">
        <v>14</v>
      </c>
      <c r="B15" s="11" t="s">
        <v>107</v>
      </c>
      <c r="C15" s="11" t="s">
        <v>108</v>
      </c>
      <c r="D15" s="11" t="s">
        <v>109</v>
      </c>
      <c r="E15" s="114">
        <v>31307</v>
      </c>
      <c r="F15" s="11" t="s">
        <v>110</v>
      </c>
      <c r="G15" s="115" t="s">
        <v>50</v>
      </c>
      <c r="H15" s="119" t="s">
        <v>48</v>
      </c>
      <c r="I15" s="112" t="s">
        <v>65</v>
      </c>
      <c r="J15" s="115">
        <v>0</v>
      </c>
      <c r="K15" s="115">
        <v>0</v>
      </c>
      <c r="L15" s="112"/>
      <c r="M15" s="121"/>
      <c r="N15" s="121"/>
      <c r="O15" s="121"/>
      <c r="P15" s="121"/>
      <c r="Q15" s="121"/>
      <c r="R15" s="121"/>
      <c r="S15" s="121"/>
      <c r="T15" s="112">
        <v>2500</v>
      </c>
      <c r="U15" s="121"/>
      <c r="V15" s="54">
        <v>0</v>
      </c>
      <c r="W15" s="54">
        <v>0</v>
      </c>
      <c r="X15" s="54">
        <f t="shared" si="0"/>
        <v>1385</v>
      </c>
      <c r="Y15" s="54">
        <f t="shared" si="1"/>
        <v>240062</v>
      </c>
      <c r="Z15" s="54">
        <f t="shared" si="2"/>
        <v>240062</v>
      </c>
      <c r="AA15" s="54">
        <f t="shared" si="3"/>
        <v>240062</v>
      </c>
      <c r="AB15" s="54" t="str">
        <f t="shared" si="4"/>
        <v>Général</v>
      </c>
      <c r="AC15" s="54">
        <f t="shared" si="5"/>
        <v>13443.472</v>
      </c>
      <c r="AD15" s="54">
        <f t="shared" si="6"/>
        <v>0</v>
      </c>
      <c r="AE15" s="54" t="b">
        <f t="shared" si="7"/>
        <v>0</v>
      </c>
      <c r="AF15" s="54">
        <f t="shared" si="8"/>
        <v>0</v>
      </c>
      <c r="AG15" s="54">
        <f t="shared" si="9"/>
        <v>2880000</v>
      </c>
      <c r="AH15" s="54">
        <f t="shared" si="10"/>
        <v>2016000</v>
      </c>
      <c r="AI15" s="54">
        <f t="shared" si="11"/>
        <v>864000</v>
      </c>
      <c r="AJ15" s="54" t="b">
        <f t="shared" si="12"/>
        <v>0</v>
      </c>
      <c r="AK15" s="54">
        <f t="shared" si="13"/>
        <v>5</v>
      </c>
      <c r="AL15" s="54">
        <f t="shared" si="14"/>
        <v>0.45</v>
      </c>
      <c r="AM15" s="54">
        <f t="shared" si="15"/>
        <v>800000</v>
      </c>
      <c r="AN15" s="54">
        <f t="shared" si="16"/>
        <v>3180000</v>
      </c>
      <c r="AO15" s="54">
        <f t="shared" si="17"/>
        <v>328800</v>
      </c>
      <c r="AP15" s="54">
        <f t="shared" si="18"/>
        <v>147960</v>
      </c>
      <c r="AQ15" s="54">
        <f t="shared" si="19"/>
        <v>-39267</v>
      </c>
      <c r="AR15" s="54">
        <f t="shared" si="20"/>
        <v>-23323.527999999998</v>
      </c>
      <c r="AS15" s="54">
        <f t="shared" si="21"/>
        <v>263385.52799999999</v>
      </c>
      <c r="AT15" s="54">
        <f t="shared" si="22"/>
        <v>263385.52799999999</v>
      </c>
      <c r="AU15" s="35">
        <f t="shared" ca="1" si="23"/>
        <v>34</v>
      </c>
      <c r="AV15" s="35" t="e">
        <f>IF(AB15="Cadre",0,X15*donnees!#REF!*1.15)</f>
        <v>#REF!</v>
      </c>
      <c r="AW15" s="35" t="e">
        <f>IF(AB15="Cadre",0,X15*donnees!#REF!*1.4)</f>
        <v>#REF!</v>
      </c>
      <c r="AX15" s="35" t="e">
        <f>IF(AB15="Cadre",0,X15*donnees!#REF!*1.6)</f>
        <v>#REF!</v>
      </c>
      <c r="AY15" s="35" t="e">
        <f>IF(AB15="Cadre",0,X15*donnees!#REF!*2)</f>
        <v>#REF!</v>
      </c>
    </row>
    <row r="16" spans="1:51" ht="15.75" x14ac:dyDescent="0.25">
      <c r="A16" s="111">
        <v>15</v>
      </c>
      <c r="B16" s="111" t="s">
        <v>111</v>
      </c>
      <c r="C16" s="111" t="s">
        <v>112</v>
      </c>
      <c r="D16" s="111" t="s">
        <v>109</v>
      </c>
      <c r="E16" s="117">
        <v>30760</v>
      </c>
      <c r="F16" s="111" t="s">
        <v>110</v>
      </c>
      <c r="G16" s="118" t="s">
        <v>50</v>
      </c>
      <c r="H16" s="119" t="s">
        <v>48</v>
      </c>
      <c r="I16" s="113" t="s">
        <v>65</v>
      </c>
      <c r="J16" s="118">
        <v>0</v>
      </c>
      <c r="K16" s="118">
        <v>0</v>
      </c>
      <c r="L16" s="113"/>
      <c r="M16" s="123"/>
      <c r="N16" s="123">
        <v>5</v>
      </c>
      <c r="O16" s="123">
        <v>5</v>
      </c>
      <c r="P16" s="123"/>
      <c r="Q16" s="123"/>
      <c r="R16" s="123"/>
      <c r="S16" s="123"/>
      <c r="T16" s="113"/>
      <c r="U16" s="123"/>
      <c r="V16" s="54">
        <v>0</v>
      </c>
      <c r="W16" s="54">
        <v>0</v>
      </c>
      <c r="X16" s="54">
        <f t="shared" si="0"/>
        <v>1385</v>
      </c>
      <c r="Y16" s="54">
        <f t="shared" si="1"/>
        <v>240062</v>
      </c>
      <c r="Z16" s="54">
        <f t="shared" si="2"/>
        <v>246987</v>
      </c>
      <c r="AA16" s="54">
        <f t="shared" si="3"/>
        <v>246987</v>
      </c>
      <c r="AB16" s="54" t="str">
        <f t="shared" si="4"/>
        <v>Général</v>
      </c>
      <c r="AC16" s="54">
        <f t="shared" si="5"/>
        <v>13831.272000000001</v>
      </c>
      <c r="AD16" s="54">
        <f t="shared" si="6"/>
        <v>0</v>
      </c>
      <c r="AE16" s="54" t="b">
        <f t="shared" si="7"/>
        <v>0</v>
      </c>
      <c r="AF16" s="54">
        <f t="shared" si="8"/>
        <v>0</v>
      </c>
      <c r="AG16" s="54">
        <f t="shared" si="9"/>
        <v>2952000</v>
      </c>
      <c r="AH16" s="54">
        <f t="shared" si="10"/>
        <v>2066400</v>
      </c>
      <c r="AI16" s="54">
        <f t="shared" si="11"/>
        <v>885600</v>
      </c>
      <c r="AJ16" s="54" t="b">
        <f t="shared" si="12"/>
        <v>0</v>
      </c>
      <c r="AK16" s="54">
        <f t="shared" si="13"/>
        <v>5</v>
      </c>
      <c r="AL16" s="54">
        <f t="shared" si="14"/>
        <v>0.45</v>
      </c>
      <c r="AM16" s="54">
        <f t="shared" si="15"/>
        <v>800000</v>
      </c>
      <c r="AN16" s="54">
        <f t="shared" si="16"/>
        <v>3180000</v>
      </c>
      <c r="AO16" s="54">
        <f t="shared" si="17"/>
        <v>343920</v>
      </c>
      <c r="AP16" s="54">
        <f t="shared" si="18"/>
        <v>154764</v>
      </c>
      <c r="AQ16" s="54">
        <f t="shared" si="19"/>
        <v>-38007</v>
      </c>
      <c r="AR16" s="54">
        <f t="shared" si="20"/>
        <v>-24175.727999999999</v>
      </c>
      <c r="AS16" s="54">
        <f t="shared" si="21"/>
        <v>271162.728</v>
      </c>
      <c r="AT16" s="54">
        <f t="shared" si="22"/>
        <v>271162.728</v>
      </c>
      <c r="AU16" s="35">
        <f t="shared" ca="1" si="23"/>
        <v>36</v>
      </c>
      <c r="AV16" s="35" t="e">
        <f>IF(AB16="Cadre",0,X16*donnees!#REF!*1.15)</f>
        <v>#REF!</v>
      </c>
      <c r="AW16" s="35" t="e">
        <f>IF(AB16="Cadre",0,X16*donnees!#REF!*1.4)</f>
        <v>#REF!</v>
      </c>
      <c r="AX16" s="35" t="e">
        <f>IF(AB16="Cadre",0,X16*donnees!#REF!*1.6)</f>
        <v>#REF!</v>
      </c>
      <c r="AY16" s="35" t="e">
        <f>IF(AB16="Cadre",0,X16*donnees!#REF!*2)</f>
        <v>#REF!</v>
      </c>
    </row>
    <row r="17" spans="1:51" ht="15.75" x14ac:dyDescent="0.25">
      <c r="A17" s="11">
        <v>16</v>
      </c>
      <c r="B17" s="11" t="s">
        <v>113</v>
      </c>
      <c r="C17" s="11" t="s">
        <v>114</v>
      </c>
      <c r="D17" s="11" t="s">
        <v>115</v>
      </c>
      <c r="E17" s="114">
        <v>28594</v>
      </c>
      <c r="F17" s="11" t="s">
        <v>116</v>
      </c>
      <c r="G17" s="115" t="s">
        <v>50</v>
      </c>
      <c r="H17" s="119" t="s">
        <v>48</v>
      </c>
      <c r="I17" s="112" t="s">
        <v>51</v>
      </c>
      <c r="J17" s="115">
        <v>1</v>
      </c>
      <c r="K17" s="115">
        <v>4</v>
      </c>
      <c r="L17" s="112"/>
      <c r="M17" s="121">
        <v>8</v>
      </c>
      <c r="N17" s="121"/>
      <c r="O17" s="121"/>
      <c r="P17" s="121">
        <v>6</v>
      </c>
      <c r="Q17" s="121">
        <v>10000</v>
      </c>
      <c r="R17" s="121"/>
      <c r="S17" s="121"/>
      <c r="T17" s="112"/>
      <c r="U17" s="121"/>
      <c r="V17" s="54">
        <v>0</v>
      </c>
      <c r="W17" s="54">
        <v>0</v>
      </c>
      <c r="X17" s="54">
        <f t="shared" si="0"/>
        <v>1385</v>
      </c>
      <c r="Y17" s="54">
        <f t="shared" si="1"/>
        <v>240062</v>
      </c>
      <c r="Z17" s="54">
        <f t="shared" si="2"/>
        <v>268344</v>
      </c>
      <c r="AA17" s="54">
        <f t="shared" si="3"/>
        <v>268344</v>
      </c>
      <c r="AB17" s="54" t="str">
        <f t="shared" si="4"/>
        <v>Général</v>
      </c>
      <c r="AC17" s="54">
        <f t="shared" si="5"/>
        <v>15027.264000000001</v>
      </c>
      <c r="AD17" s="54">
        <f t="shared" si="6"/>
        <v>0</v>
      </c>
      <c r="AE17" s="54">
        <f t="shared" si="7"/>
        <v>2</v>
      </c>
      <c r="AF17" s="54">
        <f t="shared" si="8"/>
        <v>1800</v>
      </c>
      <c r="AG17" s="54">
        <f t="shared" si="9"/>
        <v>3216000</v>
      </c>
      <c r="AH17" s="54">
        <f t="shared" si="10"/>
        <v>2316000</v>
      </c>
      <c r="AI17" s="54">
        <f t="shared" si="11"/>
        <v>900000</v>
      </c>
      <c r="AJ17" s="54">
        <f t="shared" si="12"/>
        <v>4</v>
      </c>
      <c r="AK17" s="54">
        <f t="shared" si="13"/>
        <v>4</v>
      </c>
      <c r="AL17" s="54">
        <f t="shared" si="14"/>
        <v>0.35</v>
      </c>
      <c r="AM17" s="54">
        <f t="shared" si="15"/>
        <v>600000</v>
      </c>
      <c r="AN17" s="54">
        <f t="shared" si="16"/>
        <v>2490000</v>
      </c>
      <c r="AO17" s="54">
        <f t="shared" si="17"/>
        <v>418800</v>
      </c>
      <c r="AP17" s="54">
        <f t="shared" si="18"/>
        <v>146580</v>
      </c>
      <c r="AQ17" s="54">
        <f t="shared" si="19"/>
        <v>-15100</v>
      </c>
      <c r="AR17" s="54">
        <f t="shared" si="20"/>
        <v>1727.2640000000029</v>
      </c>
      <c r="AS17" s="54">
        <f t="shared" si="21"/>
        <v>266616.73599999998</v>
      </c>
      <c r="AT17" s="54">
        <f t="shared" si="22"/>
        <v>266616.73599999998</v>
      </c>
      <c r="AU17" s="35">
        <f t="shared" ca="1" si="23"/>
        <v>42</v>
      </c>
      <c r="AV17" s="35" t="e">
        <f>IF(AB17="Cadre",0,X17*donnees!#REF!*1.15)</f>
        <v>#REF!</v>
      </c>
      <c r="AW17" s="35" t="e">
        <f>IF(AB17="Cadre",0,X17*donnees!#REF!*1.4)</f>
        <v>#REF!</v>
      </c>
      <c r="AX17" s="35" t="e">
        <f>IF(AB17="Cadre",0,X17*donnees!#REF!*1.6)</f>
        <v>#REF!</v>
      </c>
      <c r="AY17" s="35" t="e">
        <f>IF(AB17="Cadre",0,X17*donnees!#REF!*2)</f>
        <v>#REF!</v>
      </c>
    </row>
    <row r="18" spans="1:51" ht="15.75" x14ac:dyDescent="0.25">
      <c r="A18" s="111">
        <v>17</v>
      </c>
      <c r="B18" s="111" t="s">
        <v>117</v>
      </c>
      <c r="C18" s="111" t="s">
        <v>118</v>
      </c>
      <c r="D18" s="111" t="s">
        <v>115</v>
      </c>
      <c r="E18" s="117">
        <v>28152</v>
      </c>
      <c r="F18" s="111" t="s">
        <v>119</v>
      </c>
      <c r="G18" s="118" t="s">
        <v>50</v>
      </c>
      <c r="H18" s="119" t="s">
        <v>48</v>
      </c>
      <c r="I18" s="113" t="s">
        <v>51</v>
      </c>
      <c r="J18" s="118">
        <v>1</v>
      </c>
      <c r="K18" s="118">
        <v>3</v>
      </c>
      <c r="L18" s="113"/>
      <c r="M18" s="123"/>
      <c r="N18" s="123">
        <v>2</v>
      </c>
      <c r="O18" s="123">
        <v>5</v>
      </c>
      <c r="P18" s="123"/>
      <c r="Q18" s="123"/>
      <c r="R18" s="123"/>
      <c r="S18" s="123"/>
      <c r="T18" s="113"/>
      <c r="U18" s="123">
        <v>20000</v>
      </c>
      <c r="V18" s="54">
        <v>0</v>
      </c>
      <c r="W18" s="54">
        <v>0</v>
      </c>
      <c r="X18" s="54">
        <f t="shared" si="0"/>
        <v>1385</v>
      </c>
      <c r="Y18" s="54">
        <f t="shared" si="1"/>
        <v>240062</v>
      </c>
      <c r="Z18" s="54">
        <f t="shared" si="2"/>
        <v>245325</v>
      </c>
      <c r="AA18" s="54">
        <f t="shared" si="3"/>
        <v>245325</v>
      </c>
      <c r="AB18" s="54" t="str">
        <f t="shared" si="4"/>
        <v>Général</v>
      </c>
      <c r="AC18" s="54">
        <f t="shared" si="5"/>
        <v>13738.2</v>
      </c>
      <c r="AD18" s="54">
        <f t="shared" si="6"/>
        <v>0</v>
      </c>
      <c r="AE18" s="54">
        <f t="shared" si="7"/>
        <v>2</v>
      </c>
      <c r="AF18" s="54">
        <f t="shared" si="8"/>
        <v>1800</v>
      </c>
      <c r="AG18" s="54">
        <f t="shared" si="9"/>
        <v>2940000</v>
      </c>
      <c r="AH18" s="54">
        <f t="shared" si="10"/>
        <v>2058000</v>
      </c>
      <c r="AI18" s="54">
        <f t="shared" si="11"/>
        <v>882000</v>
      </c>
      <c r="AJ18" s="54">
        <f t="shared" si="12"/>
        <v>3.5</v>
      </c>
      <c r="AK18" s="54">
        <f t="shared" si="13"/>
        <v>3.5</v>
      </c>
      <c r="AL18" s="54">
        <f t="shared" si="14"/>
        <v>0.3</v>
      </c>
      <c r="AM18" s="54">
        <f t="shared" si="15"/>
        <v>500000</v>
      </c>
      <c r="AN18" s="54">
        <f t="shared" si="16"/>
        <v>2030000</v>
      </c>
      <c r="AO18" s="54">
        <f t="shared" si="17"/>
        <v>341400</v>
      </c>
      <c r="AP18" s="54">
        <f t="shared" si="18"/>
        <v>102420</v>
      </c>
      <c r="AQ18" s="54">
        <f t="shared" si="19"/>
        <v>-13217</v>
      </c>
      <c r="AR18" s="54">
        <f t="shared" si="20"/>
        <v>22321.199999999997</v>
      </c>
      <c r="AS18" s="54">
        <f t="shared" si="21"/>
        <v>223003.8</v>
      </c>
      <c r="AT18" s="54">
        <f t="shared" si="22"/>
        <v>223003.8</v>
      </c>
      <c r="AU18" s="35">
        <f t="shared" ca="1" si="23"/>
        <v>43</v>
      </c>
      <c r="AV18" s="35" t="e">
        <f>IF(AB18="Cadre",0,X18*donnees!#REF!*1.15)</f>
        <v>#REF!</v>
      </c>
      <c r="AW18" s="35" t="e">
        <f>IF(AB18="Cadre",0,X18*donnees!#REF!*1.4)</f>
        <v>#REF!</v>
      </c>
      <c r="AX18" s="35" t="e">
        <f>IF(AB18="Cadre",0,X18*donnees!#REF!*1.6)</f>
        <v>#REF!</v>
      </c>
      <c r="AY18" s="35" t="e">
        <f>IF(AB18="Cadre",0,X18*donnees!#REF!*2)</f>
        <v>#REF!</v>
      </c>
    </row>
    <row r="19" spans="1:51" ht="15.75" x14ac:dyDescent="0.25">
      <c r="A19" s="11">
        <v>18</v>
      </c>
      <c r="B19" s="11" t="s">
        <v>120</v>
      </c>
      <c r="C19" s="11" t="s">
        <v>121</v>
      </c>
      <c r="D19" s="11" t="s">
        <v>122</v>
      </c>
      <c r="E19" s="114">
        <v>30087</v>
      </c>
      <c r="F19" s="11" t="s">
        <v>123</v>
      </c>
      <c r="G19" s="115" t="s">
        <v>50</v>
      </c>
      <c r="H19" s="122" t="s">
        <v>46</v>
      </c>
      <c r="I19" s="112" t="s">
        <v>51</v>
      </c>
      <c r="J19" s="115">
        <v>2</v>
      </c>
      <c r="K19" s="115">
        <v>7</v>
      </c>
      <c r="L19" s="112"/>
      <c r="M19" s="121"/>
      <c r="N19" s="121"/>
      <c r="O19" s="121"/>
      <c r="P19" s="121"/>
      <c r="Q19" s="121">
        <v>10000</v>
      </c>
      <c r="R19" s="121">
        <v>65000</v>
      </c>
      <c r="S19" s="121"/>
      <c r="T19" s="112"/>
      <c r="U19" s="121">
        <v>15000</v>
      </c>
      <c r="V19" s="54">
        <v>0</v>
      </c>
      <c r="W19" s="54">
        <v>0</v>
      </c>
      <c r="X19" s="54">
        <f t="shared" si="0"/>
        <v>2711</v>
      </c>
      <c r="Y19" s="54">
        <f t="shared" si="1"/>
        <v>469898</v>
      </c>
      <c r="Z19" s="54">
        <f t="shared" si="2"/>
        <v>479898</v>
      </c>
      <c r="AA19" s="54">
        <f t="shared" si="3"/>
        <v>544898</v>
      </c>
      <c r="AB19" s="54" t="str">
        <f t="shared" si="4"/>
        <v>Cadre</v>
      </c>
      <c r="AC19" s="54">
        <f t="shared" si="5"/>
        <v>20160</v>
      </c>
      <c r="AD19" s="54">
        <f t="shared" si="6"/>
        <v>11518</v>
      </c>
      <c r="AE19" s="54">
        <f t="shared" si="7"/>
        <v>3</v>
      </c>
      <c r="AF19" s="54">
        <f t="shared" si="8"/>
        <v>2700</v>
      </c>
      <c r="AG19" s="54">
        <f t="shared" si="9"/>
        <v>6528000</v>
      </c>
      <c r="AH19" s="54">
        <f t="shared" si="10"/>
        <v>5628000</v>
      </c>
      <c r="AI19" s="54">
        <f t="shared" si="11"/>
        <v>900000</v>
      </c>
      <c r="AJ19" s="54">
        <f t="shared" si="12"/>
        <v>6</v>
      </c>
      <c r="AK19" s="54">
        <f t="shared" si="13"/>
        <v>5</v>
      </c>
      <c r="AL19" s="54">
        <f t="shared" si="14"/>
        <v>0.45</v>
      </c>
      <c r="AM19" s="54">
        <f t="shared" si="15"/>
        <v>800000</v>
      </c>
      <c r="AN19" s="54">
        <f t="shared" si="16"/>
        <v>3180000</v>
      </c>
      <c r="AO19" s="54">
        <f t="shared" si="17"/>
        <v>1493800</v>
      </c>
      <c r="AP19" s="54">
        <f t="shared" si="18"/>
        <v>672210</v>
      </c>
      <c r="AQ19" s="54">
        <f t="shared" si="19"/>
        <v>57817</v>
      </c>
      <c r="AR19" s="54">
        <f t="shared" si="20"/>
        <v>107195</v>
      </c>
      <c r="AS19" s="54">
        <f t="shared" si="21"/>
        <v>372703</v>
      </c>
      <c r="AT19" s="54">
        <f t="shared" si="22"/>
        <v>372703</v>
      </c>
      <c r="AU19" s="35">
        <f t="shared" ca="1" si="23"/>
        <v>38</v>
      </c>
      <c r="AV19" s="35">
        <f>IF(AB19="Cadre",0,X19*donnees!#REF!*1.15)</f>
        <v>0</v>
      </c>
      <c r="AW19" s="35">
        <f>IF(AB19="Cadre",0,X19*donnees!#REF!*1.4)</f>
        <v>0</v>
      </c>
      <c r="AX19" s="35">
        <f>IF(AB19="Cadre",0,X19*donnees!#REF!*1.6)</f>
        <v>0</v>
      </c>
      <c r="AY19" s="35">
        <f>IF(AB19="Cadre",0,X19*donnees!#REF!*2)</f>
        <v>0</v>
      </c>
    </row>
    <row r="20" spans="1:51" ht="15.75" x14ac:dyDescent="0.25">
      <c r="A20" s="111">
        <v>19</v>
      </c>
      <c r="B20" s="111" t="s">
        <v>124</v>
      </c>
      <c r="C20" s="111" t="s">
        <v>125</v>
      </c>
      <c r="D20" s="111" t="s">
        <v>126</v>
      </c>
      <c r="E20" s="117">
        <v>30986</v>
      </c>
      <c r="F20" s="111" t="s">
        <v>127</v>
      </c>
      <c r="G20" s="118" t="s">
        <v>50</v>
      </c>
      <c r="H20" s="119" t="s">
        <v>48</v>
      </c>
      <c r="I20" s="113" t="s">
        <v>51</v>
      </c>
      <c r="J20" s="118">
        <v>1</v>
      </c>
      <c r="K20" s="118">
        <v>1</v>
      </c>
      <c r="L20" s="113"/>
      <c r="M20" s="123"/>
      <c r="N20" s="123"/>
      <c r="O20" s="123"/>
      <c r="P20" s="123">
        <v>8</v>
      </c>
      <c r="Q20" s="123"/>
      <c r="R20" s="123"/>
      <c r="S20" s="123"/>
      <c r="T20" s="113">
        <v>3000</v>
      </c>
      <c r="U20" s="123"/>
      <c r="V20" s="54">
        <v>0</v>
      </c>
      <c r="W20" s="54">
        <v>0</v>
      </c>
      <c r="X20" s="54">
        <f t="shared" si="0"/>
        <v>1385</v>
      </c>
      <c r="Y20" s="54">
        <f t="shared" si="1"/>
        <v>240062</v>
      </c>
      <c r="Z20" s="54">
        <f t="shared" si="2"/>
        <v>262222</v>
      </c>
      <c r="AA20" s="54">
        <f t="shared" si="3"/>
        <v>262222</v>
      </c>
      <c r="AB20" s="54" t="str">
        <f t="shared" si="4"/>
        <v>Général</v>
      </c>
      <c r="AC20" s="54">
        <f t="shared" si="5"/>
        <v>14684.432000000001</v>
      </c>
      <c r="AD20" s="54">
        <f t="shared" si="6"/>
        <v>0</v>
      </c>
      <c r="AE20" s="54">
        <f t="shared" si="7"/>
        <v>2</v>
      </c>
      <c r="AF20" s="54">
        <f t="shared" si="8"/>
        <v>1800</v>
      </c>
      <c r="AG20" s="54">
        <f t="shared" si="9"/>
        <v>3144000</v>
      </c>
      <c r="AH20" s="54">
        <f t="shared" si="10"/>
        <v>2244000</v>
      </c>
      <c r="AI20" s="54">
        <f t="shared" si="11"/>
        <v>900000</v>
      </c>
      <c r="AJ20" s="54">
        <f t="shared" si="12"/>
        <v>2.5</v>
      </c>
      <c r="AK20" s="54">
        <f t="shared" si="13"/>
        <v>2.5</v>
      </c>
      <c r="AL20" s="54">
        <f t="shared" si="14"/>
        <v>0.2</v>
      </c>
      <c r="AM20" s="54">
        <f t="shared" si="15"/>
        <v>300000</v>
      </c>
      <c r="AN20" s="54">
        <f t="shared" si="16"/>
        <v>1100000</v>
      </c>
      <c r="AO20" s="54">
        <f t="shared" si="17"/>
        <v>397200</v>
      </c>
      <c r="AP20" s="54">
        <f t="shared" si="18"/>
        <v>79440</v>
      </c>
      <c r="AQ20" s="54">
        <f t="shared" si="19"/>
        <v>8100</v>
      </c>
      <c r="AR20" s="54">
        <f t="shared" si="20"/>
        <v>27584.432000000001</v>
      </c>
      <c r="AS20" s="54">
        <f t="shared" si="21"/>
        <v>234637.568</v>
      </c>
      <c r="AT20" s="54">
        <f t="shared" si="22"/>
        <v>234637.568</v>
      </c>
      <c r="AU20" s="35">
        <f t="shared" ca="1" si="23"/>
        <v>35</v>
      </c>
      <c r="AV20" s="35" t="e">
        <f>IF(AB20="Cadre",0,X20*donnees!#REF!*1.15)</f>
        <v>#REF!</v>
      </c>
      <c r="AW20" s="35" t="e">
        <f>IF(AB20="Cadre",0,X20*donnees!#REF!*1.4)</f>
        <v>#REF!</v>
      </c>
      <c r="AX20" s="35" t="e">
        <f>IF(AB20="Cadre",0,X20*donnees!#REF!*1.6)</f>
        <v>#REF!</v>
      </c>
      <c r="AY20" s="35" t="e">
        <f>IF(AB20="Cadre",0,X20*donnees!#REF!*2)</f>
        <v>#REF!</v>
      </c>
    </row>
    <row r="21" spans="1:51" ht="15.75" x14ac:dyDescent="0.25">
      <c r="A21" s="11">
        <v>20</v>
      </c>
      <c r="B21" s="11" t="s">
        <v>128</v>
      </c>
      <c r="C21" s="11" t="s">
        <v>129</v>
      </c>
      <c r="D21" s="11" t="s">
        <v>126</v>
      </c>
      <c r="E21" s="114">
        <v>28457</v>
      </c>
      <c r="F21" s="11" t="s">
        <v>130</v>
      </c>
      <c r="G21" s="115" t="s">
        <v>50</v>
      </c>
      <c r="H21" s="124" t="s">
        <v>47</v>
      </c>
      <c r="I21" s="112" t="s">
        <v>51</v>
      </c>
      <c r="J21" s="115">
        <v>1</v>
      </c>
      <c r="K21" s="115">
        <v>3</v>
      </c>
      <c r="L21" s="121">
        <v>13500</v>
      </c>
      <c r="M21" s="121">
        <v>8</v>
      </c>
      <c r="N21" s="121">
        <v>3</v>
      </c>
      <c r="O21" s="121"/>
      <c r="P21" s="121"/>
      <c r="Q21" s="121"/>
      <c r="R21" s="121"/>
      <c r="S21" s="121"/>
      <c r="T21" s="112">
        <v>2500</v>
      </c>
      <c r="U21" s="121"/>
      <c r="V21" s="54">
        <v>0</v>
      </c>
      <c r="W21" s="54">
        <v>0</v>
      </c>
      <c r="X21" s="54">
        <f t="shared" si="0"/>
        <v>2020</v>
      </c>
      <c r="Y21" s="54">
        <f t="shared" si="1"/>
        <v>350127</v>
      </c>
      <c r="Z21" s="54">
        <f t="shared" si="2"/>
        <v>368475</v>
      </c>
      <c r="AA21" s="54">
        <f t="shared" si="3"/>
        <v>368475</v>
      </c>
      <c r="AB21" s="54" t="str">
        <f t="shared" si="4"/>
        <v>Cadre</v>
      </c>
      <c r="AC21" s="54">
        <f t="shared" si="5"/>
        <v>20160</v>
      </c>
      <c r="AD21" s="54">
        <f t="shared" si="6"/>
        <v>8843</v>
      </c>
      <c r="AE21" s="54">
        <f t="shared" si="7"/>
        <v>2</v>
      </c>
      <c r="AF21" s="54">
        <f t="shared" si="8"/>
        <v>1800</v>
      </c>
      <c r="AG21" s="54">
        <f t="shared" si="9"/>
        <v>4416000</v>
      </c>
      <c r="AH21" s="54">
        <f t="shared" si="10"/>
        <v>3516000</v>
      </c>
      <c r="AI21" s="54">
        <f t="shared" si="11"/>
        <v>900000</v>
      </c>
      <c r="AJ21" s="54">
        <f t="shared" si="12"/>
        <v>3.5</v>
      </c>
      <c r="AK21" s="54">
        <f t="shared" si="13"/>
        <v>3.5</v>
      </c>
      <c r="AL21" s="54">
        <f t="shared" si="14"/>
        <v>0.3</v>
      </c>
      <c r="AM21" s="54">
        <f t="shared" si="15"/>
        <v>500000</v>
      </c>
      <c r="AN21" s="54">
        <f t="shared" si="16"/>
        <v>2030000</v>
      </c>
      <c r="AO21" s="54">
        <f t="shared" si="17"/>
        <v>778800</v>
      </c>
      <c r="AP21" s="54">
        <f t="shared" si="18"/>
        <v>233640</v>
      </c>
      <c r="AQ21" s="54">
        <f t="shared" si="19"/>
        <v>23233</v>
      </c>
      <c r="AR21" s="54">
        <f t="shared" si="20"/>
        <v>56536</v>
      </c>
      <c r="AS21" s="54">
        <f t="shared" si="21"/>
        <v>311939</v>
      </c>
      <c r="AT21" s="54">
        <f t="shared" si="22"/>
        <v>311939</v>
      </c>
      <c r="AU21" s="35">
        <f t="shared" ca="1" si="23"/>
        <v>42</v>
      </c>
      <c r="AV21" s="35">
        <f>IF(AB21="Cadre",0,X21*donnees!#REF!*1.15)</f>
        <v>0</v>
      </c>
      <c r="AW21" s="35">
        <f>IF(AB21="Cadre",0,X21*donnees!#REF!*1.4)</f>
        <v>0</v>
      </c>
      <c r="AX21" s="35">
        <f>IF(AB21="Cadre",0,X21*donnees!#REF!*1.6)</f>
        <v>0</v>
      </c>
      <c r="AY21" s="35">
        <f>IF(AB21="Cadre",0,X21*donnees!#REF!*2)</f>
        <v>0</v>
      </c>
    </row>
    <row r="22" spans="1:51" ht="15.75" x14ac:dyDescent="0.25">
      <c r="A22" s="111">
        <v>21</v>
      </c>
      <c r="B22" s="111" t="s">
        <v>131</v>
      </c>
      <c r="C22" s="111" t="s">
        <v>132</v>
      </c>
      <c r="D22" s="111" t="s">
        <v>133</v>
      </c>
      <c r="E22" s="117">
        <v>29131</v>
      </c>
      <c r="F22" s="111" t="s">
        <v>134</v>
      </c>
      <c r="G22" s="118" t="s">
        <v>50</v>
      </c>
      <c r="H22" s="124" t="s">
        <v>47</v>
      </c>
      <c r="I22" s="113" t="s">
        <v>51</v>
      </c>
      <c r="J22" s="118">
        <v>2</v>
      </c>
      <c r="K22" s="118">
        <v>4</v>
      </c>
      <c r="L22" s="113"/>
      <c r="M22" s="123">
        <v>8</v>
      </c>
      <c r="N22" s="123">
        <v>4</v>
      </c>
      <c r="O22" s="123">
        <v>4</v>
      </c>
      <c r="P22" s="123">
        <v>6</v>
      </c>
      <c r="Q22" s="123"/>
      <c r="R22" s="123"/>
      <c r="S22" s="123">
        <v>20000</v>
      </c>
      <c r="T22" s="113"/>
      <c r="U22" s="123"/>
      <c r="V22" s="54">
        <v>0</v>
      </c>
      <c r="W22" s="54">
        <v>0</v>
      </c>
      <c r="X22" s="54">
        <f t="shared" si="0"/>
        <v>2020</v>
      </c>
      <c r="Y22" s="54">
        <f t="shared" si="1"/>
        <v>350127</v>
      </c>
      <c r="Z22" s="54">
        <f t="shared" si="2"/>
        <v>404871</v>
      </c>
      <c r="AA22" s="54">
        <f t="shared" si="3"/>
        <v>404871</v>
      </c>
      <c r="AB22" s="54" t="str">
        <f t="shared" si="4"/>
        <v>Cadre</v>
      </c>
      <c r="AC22" s="54">
        <f t="shared" si="5"/>
        <v>20160</v>
      </c>
      <c r="AD22" s="54">
        <f t="shared" si="6"/>
        <v>9717</v>
      </c>
      <c r="AE22" s="54">
        <f t="shared" si="7"/>
        <v>3</v>
      </c>
      <c r="AF22" s="54">
        <f t="shared" si="8"/>
        <v>2700</v>
      </c>
      <c r="AG22" s="54">
        <f t="shared" si="9"/>
        <v>4848000</v>
      </c>
      <c r="AH22" s="54">
        <f t="shared" si="10"/>
        <v>3948000</v>
      </c>
      <c r="AI22" s="54">
        <f t="shared" si="11"/>
        <v>900000</v>
      </c>
      <c r="AJ22" s="54">
        <f t="shared" si="12"/>
        <v>4.5</v>
      </c>
      <c r="AK22" s="54">
        <f t="shared" si="13"/>
        <v>4.5</v>
      </c>
      <c r="AL22" s="54">
        <f t="shared" si="14"/>
        <v>0.4</v>
      </c>
      <c r="AM22" s="54">
        <f t="shared" si="15"/>
        <v>700000</v>
      </c>
      <c r="AN22" s="54">
        <f t="shared" si="16"/>
        <v>2755000</v>
      </c>
      <c r="AO22" s="54">
        <f t="shared" si="17"/>
        <v>908400</v>
      </c>
      <c r="AP22" s="54">
        <f t="shared" si="18"/>
        <v>363360</v>
      </c>
      <c r="AQ22" s="54">
        <f t="shared" si="19"/>
        <v>17367</v>
      </c>
      <c r="AR22" s="54">
        <f t="shared" si="20"/>
        <v>49944</v>
      </c>
      <c r="AS22" s="54">
        <f t="shared" si="21"/>
        <v>354927</v>
      </c>
      <c r="AT22" s="54">
        <f t="shared" si="22"/>
        <v>354927</v>
      </c>
      <c r="AU22" s="35">
        <f t="shared" ca="1" si="23"/>
        <v>40</v>
      </c>
      <c r="AV22" s="35">
        <f>IF(AB22="Cadre",0,X22*donnees!#REF!*1.15)</f>
        <v>0</v>
      </c>
      <c r="AW22" s="35">
        <f>IF(AB22="Cadre",0,X22*donnees!#REF!*1.4)</f>
        <v>0</v>
      </c>
      <c r="AX22" s="35">
        <f>IF(AB22="Cadre",0,X22*donnees!#REF!*1.6)</f>
        <v>0</v>
      </c>
      <c r="AY22" s="35">
        <f>IF(AB22="Cadre",0,X22*donnees!#REF!*2)</f>
        <v>0</v>
      </c>
    </row>
    <row r="23" spans="1:51" ht="15.75" x14ac:dyDescent="0.25">
      <c r="A23" s="11">
        <v>22</v>
      </c>
      <c r="B23" s="11" t="s">
        <v>135</v>
      </c>
      <c r="C23" s="11" t="s">
        <v>136</v>
      </c>
      <c r="D23" s="11" t="s">
        <v>133</v>
      </c>
      <c r="E23" s="114">
        <v>30174</v>
      </c>
      <c r="F23" s="11" t="s">
        <v>137</v>
      </c>
      <c r="G23" s="115" t="s">
        <v>49</v>
      </c>
      <c r="H23" s="124" t="s">
        <v>47</v>
      </c>
      <c r="I23" s="112" t="s">
        <v>51</v>
      </c>
      <c r="J23" s="115">
        <v>0</v>
      </c>
      <c r="K23" s="115">
        <v>3</v>
      </c>
      <c r="L23" s="112"/>
      <c r="M23" s="121"/>
      <c r="N23" s="121"/>
      <c r="O23" s="121"/>
      <c r="P23" s="121"/>
      <c r="Q23" s="121">
        <v>10000</v>
      </c>
      <c r="R23" s="121"/>
      <c r="S23" s="121"/>
      <c r="T23" s="112"/>
      <c r="U23" s="121"/>
      <c r="V23" s="54">
        <v>0</v>
      </c>
      <c r="W23" s="54">
        <v>0</v>
      </c>
      <c r="X23" s="54">
        <f t="shared" si="0"/>
        <v>2020</v>
      </c>
      <c r="Y23" s="54">
        <f t="shared" si="1"/>
        <v>350127</v>
      </c>
      <c r="Z23" s="54">
        <f t="shared" si="2"/>
        <v>360127</v>
      </c>
      <c r="AA23" s="54">
        <f t="shared" si="3"/>
        <v>360127</v>
      </c>
      <c r="AB23" s="54" t="str">
        <f t="shared" si="4"/>
        <v>Cadre</v>
      </c>
      <c r="AC23" s="54">
        <f t="shared" si="5"/>
        <v>20160</v>
      </c>
      <c r="AD23" s="54">
        <f t="shared" si="6"/>
        <v>8643</v>
      </c>
      <c r="AE23" s="54">
        <f t="shared" si="7"/>
        <v>1</v>
      </c>
      <c r="AF23" s="54">
        <f t="shared" si="8"/>
        <v>900</v>
      </c>
      <c r="AG23" s="54">
        <f t="shared" si="9"/>
        <v>4320000</v>
      </c>
      <c r="AH23" s="54">
        <f t="shared" si="10"/>
        <v>3420000</v>
      </c>
      <c r="AI23" s="54">
        <f t="shared" si="11"/>
        <v>900000</v>
      </c>
      <c r="AJ23" s="54">
        <f t="shared" si="12"/>
        <v>3</v>
      </c>
      <c r="AK23" s="54">
        <f t="shared" si="13"/>
        <v>3</v>
      </c>
      <c r="AL23" s="54">
        <f t="shared" si="14"/>
        <v>0.25</v>
      </c>
      <c r="AM23" s="54">
        <f t="shared" si="15"/>
        <v>400000</v>
      </c>
      <c r="AN23" s="54">
        <f t="shared" si="16"/>
        <v>1650000</v>
      </c>
      <c r="AO23" s="54">
        <f t="shared" si="17"/>
        <v>750000</v>
      </c>
      <c r="AP23" s="54">
        <f t="shared" si="18"/>
        <v>187500</v>
      </c>
      <c r="AQ23" s="54">
        <f t="shared" si="19"/>
        <v>29167</v>
      </c>
      <c r="AR23" s="54">
        <f t="shared" si="20"/>
        <v>58870</v>
      </c>
      <c r="AS23" s="54">
        <f t="shared" si="21"/>
        <v>301257</v>
      </c>
      <c r="AT23" s="54">
        <f t="shared" si="22"/>
        <v>301257</v>
      </c>
      <c r="AU23" s="35">
        <f t="shared" ca="1" si="23"/>
        <v>37</v>
      </c>
      <c r="AV23" s="35">
        <f>IF(AB23="Cadre",0,X23*donnees!#REF!*1.15)</f>
        <v>0</v>
      </c>
      <c r="AW23" s="35">
        <f>IF(AB23="Cadre",0,X23*donnees!#REF!*1.4)</f>
        <v>0</v>
      </c>
      <c r="AX23" s="35">
        <f>IF(AB23="Cadre",0,X23*donnees!#REF!*1.6)</f>
        <v>0</v>
      </c>
      <c r="AY23" s="35">
        <f>IF(AB23="Cadre",0,X23*donnees!#REF!*2)</f>
        <v>0</v>
      </c>
    </row>
    <row r="24" spans="1:51" ht="15.75" x14ac:dyDescent="0.25">
      <c r="A24" s="111">
        <v>23</v>
      </c>
      <c r="B24" s="111" t="s">
        <v>138</v>
      </c>
      <c r="C24" s="111" t="s">
        <v>139</v>
      </c>
      <c r="D24" s="111" t="s">
        <v>140</v>
      </c>
      <c r="E24" s="117">
        <v>27518</v>
      </c>
      <c r="F24" s="111" t="s">
        <v>141</v>
      </c>
      <c r="G24" s="118" t="s">
        <v>50</v>
      </c>
      <c r="H24" s="119" t="s">
        <v>48</v>
      </c>
      <c r="I24" s="113" t="s">
        <v>51</v>
      </c>
      <c r="J24" s="118">
        <v>2</v>
      </c>
      <c r="K24" s="118">
        <v>5</v>
      </c>
      <c r="L24" s="113"/>
      <c r="M24" s="123"/>
      <c r="N24" s="123"/>
      <c r="O24" s="123">
        <v>3</v>
      </c>
      <c r="P24" s="123">
        <v>6</v>
      </c>
      <c r="Q24" s="123"/>
      <c r="R24" s="123">
        <v>50000</v>
      </c>
      <c r="S24" s="123"/>
      <c r="T24" s="113"/>
      <c r="U24" s="123"/>
      <c r="V24" s="54">
        <v>0</v>
      </c>
      <c r="W24" s="54">
        <v>0</v>
      </c>
      <c r="X24" s="54">
        <f t="shared" si="0"/>
        <v>1385</v>
      </c>
      <c r="Y24" s="54">
        <f t="shared" si="1"/>
        <v>240062</v>
      </c>
      <c r="Z24" s="54">
        <f t="shared" si="2"/>
        <v>259175</v>
      </c>
      <c r="AA24" s="54">
        <f t="shared" si="3"/>
        <v>309175</v>
      </c>
      <c r="AB24" s="54" t="str">
        <f t="shared" si="4"/>
        <v>Général</v>
      </c>
      <c r="AC24" s="54">
        <f t="shared" si="5"/>
        <v>14513.800000000001</v>
      </c>
      <c r="AD24" s="54">
        <f t="shared" si="6"/>
        <v>0</v>
      </c>
      <c r="AE24" s="54">
        <f t="shared" si="7"/>
        <v>3</v>
      </c>
      <c r="AF24" s="54">
        <f t="shared" si="8"/>
        <v>2700</v>
      </c>
      <c r="AG24" s="54">
        <f t="shared" si="9"/>
        <v>3708000</v>
      </c>
      <c r="AH24" s="54">
        <f t="shared" si="10"/>
        <v>2808000</v>
      </c>
      <c r="AI24" s="54">
        <f t="shared" si="11"/>
        <v>900000</v>
      </c>
      <c r="AJ24" s="54">
        <f t="shared" si="12"/>
        <v>5</v>
      </c>
      <c r="AK24" s="54">
        <f t="shared" si="13"/>
        <v>5</v>
      </c>
      <c r="AL24" s="54">
        <f t="shared" si="14"/>
        <v>0.45</v>
      </c>
      <c r="AM24" s="54">
        <f t="shared" si="15"/>
        <v>800000</v>
      </c>
      <c r="AN24" s="54">
        <f t="shared" si="16"/>
        <v>3180000</v>
      </c>
      <c r="AO24" s="54">
        <f t="shared" si="17"/>
        <v>566400</v>
      </c>
      <c r="AP24" s="54">
        <f t="shared" si="18"/>
        <v>254880</v>
      </c>
      <c r="AQ24" s="54">
        <f t="shared" si="19"/>
        <v>-19467</v>
      </c>
      <c r="AR24" s="54">
        <f t="shared" si="20"/>
        <v>-2253.1999999999971</v>
      </c>
      <c r="AS24" s="54">
        <f t="shared" si="21"/>
        <v>261428.2</v>
      </c>
      <c r="AT24" s="54">
        <f t="shared" si="22"/>
        <v>261428.2</v>
      </c>
      <c r="AU24" s="35">
        <f t="shared" ca="1" si="23"/>
        <v>45</v>
      </c>
      <c r="AV24" s="35" t="e">
        <f>IF(AB24="Cadre",0,X24*donnees!#REF!*1.15)</f>
        <v>#REF!</v>
      </c>
      <c r="AW24" s="35" t="e">
        <f>IF(AB24="Cadre",0,X24*donnees!#REF!*1.4)</f>
        <v>#REF!</v>
      </c>
      <c r="AX24" s="35" t="e">
        <f>IF(AB24="Cadre",0,X24*donnees!#REF!*1.6)</f>
        <v>#REF!</v>
      </c>
      <c r="AY24" s="35" t="e">
        <f>IF(AB24="Cadre",0,X24*donnees!#REF!*2)</f>
        <v>#REF!</v>
      </c>
    </row>
    <row r="25" spans="1:51" ht="15.75" x14ac:dyDescent="0.25">
      <c r="A25" s="11">
        <v>24</v>
      </c>
      <c r="B25" s="11" t="s">
        <v>142</v>
      </c>
      <c r="C25" s="11" t="s">
        <v>143</v>
      </c>
      <c r="D25" s="11" t="s">
        <v>144</v>
      </c>
      <c r="E25" s="114">
        <v>29155</v>
      </c>
      <c r="F25" s="11" t="s">
        <v>145</v>
      </c>
      <c r="G25" s="115" t="s">
        <v>50</v>
      </c>
      <c r="H25" s="119" t="s">
        <v>48</v>
      </c>
      <c r="I25" s="112" t="s">
        <v>51</v>
      </c>
      <c r="J25" s="115">
        <v>1</v>
      </c>
      <c r="K25" s="115">
        <v>0</v>
      </c>
      <c r="L25" s="112"/>
      <c r="M25" s="121">
        <v>8</v>
      </c>
      <c r="N25" s="121">
        <v>5</v>
      </c>
      <c r="O25" s="121">
        <v>2</v>
      </c>
      <c r="P25" s="121"/>
      <c r="Q25" s="121">
        <v>10000</v>
      </c>
      <c r="R25" s="121"/>
      <c r="S25" s="121"/>
      <c r="T25" s="112">
        <v>2500</v>
      </c>
      <c r="U25" s="121"/>
      <c r="V25" s="54">
        <v>0</v>
      </c>
      <c r="W25" s="54">
        <v>0</v>
      </c>
      <c r="X25" s="54">
        <f t="shared" si="0"/>
        <v>1385</v>
      </c>
      <c r="Y25" s="54">
        <f t="shared" si="1"/>
        <v>240062</v>
      </c>
      <c r="Z25" s="54">
        <f t="shared" si="2"/>
        <v>256156</v>
      </c>
      <c r="AA25" s="54">
        <f t="shared" si="3"/>
        <v>256156</v>
      </c>
      <c r="AB25" s="54" t="str">
        <f t="shared" si="4"/>
        <v>Général</v>
      </c>
      <c r="AC25" s="54">
        <f t="shared" si="5"/>
        <v>14344.736000000001</v>
      </c>
      <c r="AD25" s="54">
        <f t="shared" si="6"/>
        <v>0</v>
      </c>
      <c r="AE25" s="54">
        <f t="shared" si="7"/>
        <v>2</v>
      </c>
      <c r="AF25" s="54">
        <f t="shared" si="8"/>
        <v>1800</v>
      </c>
      <c r="AG25" s="54">
        <f t="shared" si="9"/>
        <v>3072000</v>
      </c>
      <c r="AH25" s="54">
        <f t="shared" si="10"/>
        <v>2172000</v>
      </c>
      <c r="AI25" s="54">
        <f t="shared" si="11"/>
        <v>900000</v>
      </c>
      <c r="AJ25" s="54">
        <f t="shared" si="12"/>
        <v>2</v>
      </c>
      <c r="AK25" s="54">
        <f t="shared" si="13"/>
        <v>2</v>
      </c>
      <c r="AL25" s="54">
        <f t="shared" si="14"/>
        <v>0.15</v>
      </c>
      <c r="AM25" s="54">
        <f t="shared" si="15"/>
        <v>200000</v>
      </c>
      <c r="AN25" s="54">
        <f t="shared" si="16"/>
        <v>650000</v>
      </c>
      <c r="AO25" s="54">
        <f t="shared" si="17"/>
        <v>375600</v>
      </c>
      <c r="AP25" s="54">
        <f t="shared" si="18"/>
        <v>56340</v>
      </c>
      <c r="AQ25" s="54">
        <f t="shared" si="19"/>
        <v>14633</v>
      </c>
      <c r="AR25" s="54">
        <f t="shared" si="20"/>
        <v>33277.736000000004</v>
      </c>
      <c r="AS25" s="54">
        <f t="shared" si="21"/>
        <v>222878.264</v>
      </c>
      <c r="AT25" s="54">
        <f t="shared" si="22"/>
        <v>222878.264</v>
      </c>
      <c r="AU25" s="35">
        <f t="shared" ca="1" si="23"/>
        <v>40</v>
      </c>
      <c r="AV25" s="35" t="e">
        <f>IF(AB25="Cadre",0,X25*donnees!#REF!*1.15)</f>
        <v>#REF!</v>
      </c>
      <c r="AW25" s="35" t="e">
        <f>IF(AB25="Cadre",0,X25*donnees!#REF!*1.4)</f>
        <v>#REF!</v>
      </c>
      <c r="AX25" s="35" t="e">
        <f>IF(AB25="Cadre",0,X25*donnees!#REF!*1.6)</f>
        <v>#REF!</v>
      </c>
      <c r="AY25" s="35" t="e">
        <f>IF(AB25="Cadre",0,X25*donnees!#REF!*2)</f>
        <v>#REF!</v>
      </c>
    </row>
    <row r="26" spans="1:51" ht="15.75" x14ac:dyDescent="0.25">
      <c r="A26" s="111">
        <v>25</v>
      </c>
      <c r="B26" s="111" t="s">
        <v>146</v>
      </c>
      <c r="C26" s="111" t="s">
        <v>147</v>
      </c>
      <c r="D26" s="111" t="s">
        <v>144</v>
      </c>
      <c r="E26" s="117">
        <v>28582</v>
      </c>
      <c r="F26" s="111" t="s">
        <v>148</v>
      </c>
      <c r="G26" s="118" t="s">
        <v>49</v>
      </c>
      <c r="H26" s="119" t="s">
        <v>48</v>
      </c>
      <c r="I26" s="113" t="s">
        <v>65</v>
      </c>
      <c r="J26" s="118">
        <v>0</v>
      </c>
      <c r="K26" s="118">
        <v>0</v>
      </c>
      <c r="L26" s="113"/>
      <c r="M26" s="123"/>
      <c r="N26" s="123">
        <v>4</v>
      </c>
      <c r="O26" s="123"/>
      <c r="P26" s="123">
        <v>5</v>
      </c>
      <c r="Q26" s="123"/>
      <c r="R26" s="123"/>
      <c r="S26" s="123"/>
      <c r="T26" s="113">
        <v>3000</v>
      </c>
      <c r="U26" s="123">
        <v>30000</v>
      </c>
      <c r="V26" s="54">
        <v>0</v>
      </c>
      <c r="W26" s="54">
        <v>0</v>
      </c>
      <c r="X26" s="54">
        <f t="shared" si="0"/>
        <v>1385</v>
      </c>
      <c r="Y26" s="54">
        <f t="shared" si="1"/>
        <v>240062</v>
      </c>
      <c r="Z26" s="54">
        <f t="shared" si="2"/>
        <v>256128</v>
      </c>
      <c r="AA26" s="54">
        <f t="shared" si="3"/>
        <v>256128</v>
      </c>
      <c r="AB26" s="54" t="str">
        <f t="shared" si="4"/>
        <v>Général</v>
      </c>
      <c r="AC26" s="54">
        <f t="shared" si="5"/>
        <v>14343.168</v>
      </c>
      <c r="AD26" s="54">
        <f t="shared" si="6"/>
        <v>0</v>
      </c>
      <c r="AE26" s="54" t="b">
        <f t="shared" si="7"/>
        <v>0</v>
      </c>
      <c r="AF26" s="54">
        <f t="shared" si="8"/>
        <v>0</v>
      </c>
      <c r="AG26" s="54">
        <f t="shared" si="9"/>
        <v>3072000</v>
      </c>
      <c r="AH26" s="54">
        <f t="shared" si="10"/>
        <v>2172000</v>
      </c>
      <c r="AI26" s="54">
        <f t="shared" si="11"/>
        <v>900000</v>
      </c>
      <c r="AJ26" s="54" t="b">
        <f t="shared" si="12"/>
        <v>0</v>
      </c>
      <c r="AK26" s="54">
        <f t="shared" si="13"/>
        <v>5</v>
      </c>
      <c r="AL26" s="54">
        <f t="shared" si="14"/>
        <v>0.45</v>
      </c>
      <c r="AM26" s="54">
        <f t="shared" si="15"/>
        <v>800000</v>
      </c>
      <c r="AN26" s="54">
        <f t="shared" si="16"/>
        <v>3180000</v>
      </c>
      <c r="AO26" s="54">
        <f t="shared" si="17"/>
        <v>375600</v>
      </c>
      <c r="AP26" s="54">
        <f t="shared" si="18"/>
        <v>169020</v>
      </c>
      <c r="AQ26" s="54">
        <f t="shared" si="19"/>
        <v>-35367</v>
      </c>
      <c r="AR26" s="54">
        <f t="shared" si="20"/>
        <v>11976.167999999998</v>
      </c>
      <c r="AS26" s="54">
        <f t="shared" si="21"/>
        <v>244151.83199999999</v>
      </c>
      <c r="AT26" s="54">
        <f t="shared" si="22"/>
        <v>244151.83199999999</v>
      </c>
      <c r="AU26" s="35">
        <f t="shared" ca="1" si="23"/>
        <v>42</v>
      </c>
      <c r="AV26" s="35" t="e">
        <f>IF(AB26="Cadre",0,X26*donnees!#REF!*1.15)</f>
        <v>#REF!</v>
      </c>
      <c r="AW26" s="35" t="e">
        <f>IF(AB26="Cadre",0,X26*donnees!#REF!*1.4)</f>
        <v>#REF!</v>
      </c>
      <c r="AX26" s="35" t="e">
        <f>IF(AB26="Cadre",0,X26*donnees!#REF!*1.6)</f>
        <v>#REF!</v>
      </c>
      <c r="AY26" s="35" t="e">
        <f>IF(AB26="Cadre",0,X26*donnees!#REF!*2)</f>
        <v>#REF!</v>
      </c>
    </row>
    <row r="27" spans="1:51" ht="15.75" x14ac:dyDescent="0.25">
      <c r="A27" s="11">
        <v>26</v>
      </c>
      <c r="B27" s="11" t="s">
        <v>149</v>
      </c>
      <c r="C27" s="11" t="s">
        <v>150</v>
      </c>
      <c r="D27" s="11" t="s">
        <v>151</v>
      </c>
      <c r="E27" s="114">
        <v>31255</v>
      </c>
      <c r="F27" s="11" t="s">
        <v>152</v>
      </c>
      <c r="G27" s="115" t="s">
        <v>50</v>
      </c>
      <c r="H27" s="119" t="s">
        <v>48</v>
      </c>
      <c r="I27" s="112" t="s">
        <v>65</v>
      </c>
      <c r="J27" s="115">
        <v>0</v>
      </c>
      <c r="K27" s="115">
        <v>0</v>
      </c>
      <c r="L27" s="121">
        <v>12000</v>
      </c>
      <c r="M27" s="121">
        <v>8</v>
      </c>
      <c r="N27" s="121">
        <v>4</v>
      </c>
      <c r="O27" s="121">
        <v>5</v>
      </c>
      <c r="P27" s="121">
        <v>7</v>
      </c>
      <c r="Q27" s="121"/>
      <c r="R27" s="121"/>
      <c r="S27" s="121"/>
      <c r="T27" s="112"/>
      <c r="U27" s="121"/>
      <c r="V27" s="54">
        <v>0</v>
      </c>
      <c r="W27" s="54">
        <v>0</v>
      </c>
      <c r="X27" s="54">
        <f t="shared" si="0"/>
        <v>1385</v>
      </c>
      <c r="Y27" s="54">
        <f t="shared" si="1"/>
        <v>240062</v>
      </c>
      <c r="Z27" s="54">
        <f t="shared" si="2"/>
        <v>279485</v>
      </c>
      <c r="AA27" s="54">
        <f t="shared" si="3"/>
        <v>279485</v>
      </c>
      <c r="AB27" s="54" t="str">
        <f t="shared" si="4"/>
        <v>Général</v>
      </c>
      <c r="AC27" s="54">
        <f t="shared" si="5"/>
        <v>15651.16</v>
      </c>
      <c r="AD27" s="54">
        <f t="shared" si="6"/>
        <v>0</v>
      </c>
      <c r="AE27" s="54" t="b">
        <f t="shared" si="7"/>
        <v>0</v>
      </c>
      <c r="AF27" s="54">
        <f t="shared" si="8"/>
        <v>0</v>
      </c>
      <c r="AG27" s="54">
        <f t="shared" si="9"/>
        <v>3348000</v>
      </c>
      <c r="AH27" s="54">
        <f t="shared" si="10"/>
        <v>2448000</v>
      </c>
      <c r="AI27" s="54">
        <f t="shared" si="11"/>
        <v>900000</v>
      </c>
      <c r="AJ27" s="54" t="b">
        <f t="shared" si="12"/>
        <v>0</v>
      </c>
      <c r="AK27" s="54">
        <f t="shared" si="13"/>
        <v>5</v>
      </c>
      <c r="AL27" s="54">
        <f t="shared" si="14"/>
        <v>0.45</v>
      </c>
      <c r="AM27" s="54">
        <f t="shared" si="15"/>
        <v>800000</v>
      </c>
      <c r="AN27" s="54">
        <f t="shared" si="16"/>
        <v>3180000</v>
      </c>
      <c r="AO27" s="54">
        <f t="shared" si="17"/>
        <v>458400</v>
      </c>
      <c r="AP27" s="54">
        <f t="shared" si="18"/>
        <v>206280</v>
      </c>
      <c r="AQ27" s="54">
        <f t="shared" si="19"/>
        <v>-28467</v>
      </c>
      <c r="AR27" s="54">
        <f t="shared" si="20"/>
        <v>-12815.84</v>
      </c>
      <c r="AS27" s="54">
        <f t="shared" si="21"/>
        <v>292300.84000000003</v>
      </c>
      <c r="AT27" s="54">
        <f t="shared" si="22"/>
        <v>292300.84000000003</v>
      </c>
      <c r="AU27" s="35">
        <f t="shared" ca="1" si="23"/>
        <v>34</v>
      </c>
      <c r="AV27" s="35" t="e">
        <f>IF(AB27="Cadre",0,X27*donnees!#REF!*1.15)</f>
        <v>#REF!</v>
      </c>
      <c r="AW27" s="35" t="e">
        <f>IF(AB27="Cadre",0,X27*donnees!#REF!*1.4)</f>
        <v>#REF!</v>
      </c>
      <c r="AX27" s="35" t="e">
        <f>IF(AB27="Cadre",0,X27*donnees!#REF!*1.6)</f>
        <v>#REF!</v>
      </c>
      <c r="AY27" s="35" t="e">
        <f>IF(AB27="Cadre",0,X27*donnees!#REF!*2)</f>
        <v>#REF!</v>
      </c>
    </row>
    <row r="28" spans="1:51" ht="15.75" x14ac:dyDescent="0.25">
      <c r="A28" s="111">
        <v>27</v>
      </c>
      <c r="B28" s="111" t="s">
        <v>153</v>
      </c>
      <c r="C28" s="111" t="s">
        <v>114</v>
      </c>
      <c r="D28" s="111" t="s">
        <v>154</v>
      </c>
      <c r="E28" s="117">
        <v>31369</v>
      </c>
      <c r="F28" s="111" t="s">
        <v>155</v>
      </c>
      <c r="G28" s="118" t="s">
        <v>50</v>
      </c>
      <c r="H28" s="122" t="s">
        <v>46</v>
      </c>
      <c r="I28" s="113" t="s">
        <v>65</v>
      </c>
      <c r="J28" s="118">
        <v>0</v>
      </c>
      <c r="K28" s="118">
        <v>0</v>
      </c>
      <c r="L28" s="113"/>
      <c r="M28" s="123"/>
      <c r="N28" s="123"/>
      <c r="O28" s="123"/>
      <c r="P28" s="123"/>
      <c r="Q28" s="123"/>
      <c r="R28" s="123">
        <v>15000</v>
      </c>
      <c r="S28" s="123"/>
      <c r="T28" s="113">
        <v>3000</v>
      </c>
      <c r="U28" s="123"/>
      <c r="V28" s="54">
        <v>0</v>
      </c>
      <c r="W28" s="54">
        <v>0</v>
      </c>
      <c r="X28" s="54">
        <f t="shared" si="0"/>
        <v>2711</v>
      </c>
      <c r="Y28" s="54">
        <f t="shared" si="1"/>
        <v>469898</v>
      </c>
      <c r="Z28" s="54">
        <f t="shared" si="2"/>
        <v>469898</v>
      </c>
      <c r="AA28" s="54">
        <f t="shared" si="3"/>
        <v>484898</v>
      </c>
      <c r="AB28" s="54" t="str">
        <f t="shared" si="4"/>
        <v>Cadre</v>
      </c>
      <c r="AC28" s="54">
        <f t="shared" si="5"/>
        <v>20160</v>
      </c>
      <c r="AD28" s="54">
        <f t="shared" si="6"/>
        <v>11278</v>
      </c>
      <c r="AE28" s="54" t="b">
        <f t="shared" si="7"/>
        <v>0</v>
      </c>
      <c r="AF28" s="54">
        <f t="shared" si="8"/>
        <v>0</v>
      </c>
      <c r="AG28" s="54">
        <f t="shared" si="9"/>
        <v>5808000</v>
      </c>
      <c r="AH28" s="54">
        <f t="shared" si="10"/>
        <v>4908000</v>
      </c>
      <c r="AI28" s="54">
        <f t="shared" si="11"/>
        <v>900000</v>
      </c>
      <c r="AJ28" s="54" t="b">
        <f t="shared" si="12"/>
        <v>0</v>
      </c>
      <c r="AK28" s="54">
        <f t="shared" si="13"/>
        <v>5</v>
      </c>
      <c r="AL28" s="54">
        <f t="shared" si="14"/>
        <v>0.45</v>
      </c>
      <c r="AM28" s="54">
        <f t="shared" si="15"/>
        <v>800000</v>
      </c>
      <c r="AN28" s="54">
        <f t="shared" si="16"/>
        <v>3180000</v>
      </c>
      <c r="AO28" s="54">
        <f t="shared" si="17"/>
        <v>1241800</v>
      </c>
      <c r="AP28" s="54">
        <f t="shared" si="18"/>
        <v>558810</v>
      </c>
      <c r="AQ28" s="54">
        <f t="shared" si="19"/>
        <v>36817</v>
      </c>
      <c r="AR28" s="54">
        <f t="shared" si="20"/>
        <v>71255</v>
      </c>
      <c r="AS28" s="54">
        <f t="shared" si="21"/>
        <v>398643</v>
      </c>
      <c r="AT28" s="54">
        <f t="shared" si="22"/>
        <v>398643</v>
      </c>
      <c r="AU28" s="35">
        <f t="shared" ca="1" si="23"/>
        <v>34</v>
      </c>
      <c r="AV28" s="35">
        <f>IF(AB28="Cadre",0,X28*donnees!#REF!*1.15)</f>
        <v>0</v>
      </c>
      <c r="AW28" s="35">
        <f>IF(AB28="Cadre",0,X28*donnees!#REF!*1.4)</f>
        <v>0</v>
      </c>
      <c r="AX28" s="35">
        <f>IF(AB28="Cadre",0,X28*donnees!#REF!*1.6)</f>
        <v>0</v>
      </c>
      <c r="AY28" s="35">
        <f>IF(AB28="Cadre",0,X28*donnees!#REF!*2)</f>
        <v>0</v>
      </c>
    </row>
    <row r="29" spans="1:51" ht="15.75" x14ac:dyDescent="0.25">
      <c r="A29" s="11">
        <v>28</v>
      </c>
      <c r="B29" s="11" t="s">
        <v>156</v>
      </c>
      <c r="C29" s="11" t="s">
        <v>157</v>
      </c>
      <c r="D29" s="11" t="s">
        <v>158</v>
      </c>
      <c r="E29" s="114">
        <v>29901</v>
      </c>
      <c r="F29" s="11" t="s">
        <v>159</v>
      </c>
      <c r="G29" s="115" t="s">
        <v>50</v>
      </c>
      <c r="H29" s="124" t="s">
        <v>47</v>
      </c>
      <c r="I29" s="112" t="s">
        <v>65</v>
      </c>
      <c r="J29" s="115">
        <v>0</v>
      </c>
      <c r="K29" s="115">
        <v>0</v>
      </c>
      <c r="L29" s="112"/>
      <c r="M29" s="121">
        <v>8</v>
      </c>
      <c r="N29" s="121">
        <v>2</v>
      </c>
      <c r="O29" s="121"/>
      <c r="P29" s="121">
        <v>5</v>
      </c>
      <c r="Q29" s="121"/>
      <c r="R29" s="121"/>
      <c r="S29" s="121"/>
      <c r="T29" s="112">
        <v>2500</v>
      </c>
      <c r="U29" s="121"/>
      <c r="V29" s="54">
        <v>0</v>
      </c>
      <c r="W29" s="54">
        <v>0</v>
      </c>
      <c r="X29" s="54">
        <f t="shared" si="0"/>
        <v>2020</v>
      </c>
      <c r="Y29" s="54">
        <f t="shared" si="1"/>
        <v>350127</v>
      </c>
      <c r="Z29" s="54">
        <f t="shared" si="2"/>
        <v>374367</v>
      </c>
      <c r="AA29" s="54">
        <f t="shared" si="3"/>
        <v>374367</v>
      </c>
      <c r="AB29" s="54" t="str">
        <f t="shared" si="4"/>
        <v>Cadre</v>
      </c>
      <c r="AC29" s="54">
        <f t="shared" si="5"/>
        <v>20160</v>
      </c>
      <c r="AD29" s="54">
        <f t="shared" si="6"/>
        <v>8985</v>
      </c>
      <c r="AE29" s="54" t="b">
        <f t="shared" si="7"/>
        <v>0</v>
      </c>
      <c r="AF29" s="54">
        <f t="shared" si="8"/>
        <v>0</v>
      </c>
      <c r="AG29" s="54">
        <f t="shared" si="9"/>
        <v>4488000</v>
      </c>
      <c r="AH29" s="54">
        <f t="shared" si="10"/>
        <v>3588000</v>
      </c>
      <c r="AI29" s="54">
        <f t="shared" si="11"/>
        <v>900000</v>
      </c>
      <c r="AJ29" s="54" t="b">
        <f t="shared" si="12"/>
        <v>0</v>
      </c>
      <c r="AK29" s="54">
        <f t="shared" si="13"/>
        <v>5</v>
      </c>
      <c r="AL29" s="54">
        <f t="shared" si="14"/>
        <v>0.45</v>
      </c>
      <c r="AM29" s="54">
        <f t="shared" si="15"/>
        <v>800000</v>
      </c>
      <c r="AN29" s="54">
        <f t="shared" si="16"/>
        <v>3180000</v>
      </c>
      <c r="AO29" s="54">
        <f t="shared" si="17"/>
        <v>800400</v>
      </c>
      <c r="AP29" s="54">
        <f t="shared" si="18"/>
        <v>360180</v>
      </c>
      <c r="AQ29" s="54">
        <f t="shared" si="19"/>
        <v>33</v>
      </c>
      <c r="AR29" s="54">
        <f t="shared" si="20"/>
        <v>31678</v>
      </c>
      <c r="AS29" s="54">
        <f t="shared" si="21"/>
        <v>342689</v>
      </c>
      <c r="AT29" s="54">
        <f t="shared" si="22"/>
        <v>342689</v>
      </c>
      <c r="AU29" s="35">
        <f t="shared" ca="1" si="23"/>
        <v>38</v>
      </c>
      <c r="AV29" s="35">
        <f>IF(AB29="Cadre",0,X29*donnees!#REF!*1.15)</f>
        <v>0</v>
      </c>
      <c r="AW29" s="35">
        <f>IF(AB29="Cadre",0,X29*donnees!#REF!*1.4)</f>
        <v>0</v>
      </c>
      <c r="AX29" s="35">
        <f>IF(AB29="Cadre",0,X29*donnees!#REF!*1.6)</f>
        <v>0</v>
      </c>
      <c r="AY29" s="35">
        <f>IF(AB29="Cadre",0,X29*donnees!#REF!*2)</f>
        <v>0</v>
      </c>
    </row>
    <row r="30" spans="1:51" ht="15.75" x14ac:dyDescent="0.25">
      <c r="A30" s="111">
        <v>29</v>
      </c>
      <c r="B30" s="111" t="s">
        <v>160</v>
      </c>
      <c r="C30" s="111" t="s">
        <v>161</v>
      </c>
      <c r="D30" s="111" t="s">
        <v>162</v>
      </c>
      <c r="E30" s="117">
        <v>31169</v>
      </c>
      <c r="F30" s="111" t="s">
        <v>163</v>
      </c>
      <c r="G30" s="118" t="s">
        <v>49</v>
      </c>
      <c r="H30" s="122" t="s">
        <v>46</v>
      </c>
      <c r="I30" s="113" t="s">
        <v>51</v>
      </c>
      <c r="J30" s="118">
        <v>0</v>
      </c>
      <c r="K30" s="118">
        <v>2</v>
      </c>
      <c r="L30" s="113"/>
      <c r="M30" s="123"/>
      <c r="N30" s="123"/>
      <c r="O30" s="123"/>
      <c r="P30" s="123"/>
      <c r="Q30" s="123">
        <v>10000</v>
      </c>
      <c r="R30" s="123">
        <v>17500</v>
      </c>
      <c r="S30" s="123"/>
      <c r="T30" s="113"/>
      <c r="U30" s="123"/>
      <c r="V30" s="54">
        <v>0</v>
      </c>
      <c r="W30" s="54">
        <v>0</v>
      </c>
      <c r="X30" s="54">
        <f t="shared" si="0"/>
        <v>2711</v>
      </c>
      <c r="Y30" s="54">
        <f t="shared" si="1"/>
        <v>469898</v>
      </c>
      <c r="Z30" s="54">
        <f t="shared" si="2"/>
        <v>479898</v>
      </c>
      <c r="AA30" s="54">
        <f t="shared" si="3"/>
        <v>497398</v>
      </c>
      <c r="AB30" s="54" t="str">
        <f t="shared" si="4"/>
        <v>Cadre</v>
      </c>
      <c r="AC30" s="54">
        <f t="shared" si="5"/>
        <v>20160</v>
      </c>
      <c r="AD30" s="54">
        <f t="shared" si="6"/>
        <v>11518</v>
      </c>
      <c r="AE30" s="54">
        <f t="shared" si="7"/>
        <v>1</v>
      </c>
      <c r="AF30" s="54">
        <f t="shared" si="8"/>
        <v>900</v>
      </c>
      <c r="AG30" s="54">
        <f t="shared" si="9"/>
        <v>5964000</v>
      </c>
      <c r="AH30" s="54">
        <f t="shared" si="10"/>
        <v>5064000</v>
      </c>
      <c r="AI30" s="54">
        <f t="shared" si="11"/>
        <v>900000</v>
      </c>
      <c r="AJ30" s="54">
        <f t="shared" si="12"/>
        <v>2.5</v>
      </c>
      <c r="AK30" s="54">
        <f t="shared" si="13"/>
        <v>2.5</v>
      </c>
      <c r="AL30" s="54">
        <f t="shared" si="14"/>
        <v>0.2</v>
      </c>
      <c r="AM30" s="54">
        <f t="shared" si="15"/>
        <v>300000</v>
      </c>
      <c r="AN30" s="54">
        <f t="shared" si="16"/>
        <v>1100000</v>
      </c>
      <c r="AO30" s="54">
        <f t="shared" si="17"/>
        <v>1296400</v>
      </c>
      <c r="AP30" s="54">
        <f t="shared" si="18"/>
        <v>259280</v>
      </c>
      <c r="AQ30" s="54">
        <f t="shared" si="19"/>
        <v>83033</v>
      </c>
      <c r="AR30" s="54">
        <f t="shared" si="20"/>
        <v>115611</v>
      </c>
      <c r="AS30" s="54">
        <f t="shared" si="21"/>
        <v>364287</v>
      </c>
      <c r="AT30" s="54">
        <f t="shared" si="22"/>
        <v>364287</v>
      </c>
      <c r="AU30" s="35">
        <f t="shared" ca="1" si="23"/>
        <v>35</v>
      </c>
      <c r="AV30" s="35">
        <f>IF(AB30="Cadre",0,X30*donnees!#REF!*1.15)</f>
        <v>0</v>
      </c>
      <c r="AW30" s="35">
        <f>IF(AB30="Cadre",0,X30*donnees!#REF!*1.4)</f>
        <v>0</v>
      </c>
      <c r="AX30" s="35">
        <f>IF(AB30="Cadre",0,X30*donnees!#REF!*1.6)</f>
        <v>0</v>
      </c>
      <c r="AY30" s="35">
        <f>IF(AB30="Cadre",0,X30*donnees!#REF!*2)</f>
        <v>0</v>
      </c>
    </row>
    <row r="31" spans="1:51" ht="15.75" x14ac:dyDescent="0.25">
      <c r="A31" s="11">
        <v>30</v>
      </c>
      <c r="B31" s="11" t="s">
        <v>164</v>
      </c>
      <c r="C31" s="11" t="s">
        <v>165</v>
      </c>
      <c r="D31" s="11" t="s">
        <v>166</v>
      </c>
      <c r="E31" s="114">
        <v>28845</v>
      </c>
      <c r="F31" s="11" t="s">
        <v>167</v>
      </c>
      <c r="G31" s="115" t="s">
        <v>50</v>
      </c>
      <c r="H31" s="122" t="s">
        <v>46</v>
      </c>
      <c r="I31" s="112" t="s">
        <v>51</v>
      </c>
      <c r="J31" s="115">
        <v>3</v>
      </c>
      <c r="K31" s="115">
        <v>7</v>
      </c>
      <c r="L31" s="112"/>
      <c r="M31" s="121"/>
      <c r="N31" s="121"/>
      <c r="O31" s="121"/>
      <c r="P31" s="121"/>
      <c r="Q31" s="121">
        <v>8000</v>
      </c>
      <c r="R31" s="121"/>
      <c r="S31" s="121"/>
      <c r="T31" s="112">
        <v>3000</v>
      </c>
      <c r="U31" s="121">
        <v>12500</v>
      </c>
      <c r="V31" s="54">
        <v>0</v>
      </c>
      <c r="W31" s="54">
        <v>0</v>
      </c>
      <c r="X31" s="54">
        <f t="shared" si="0"/>
        <v>2711</v>
      </c>
      <c r="Y31" s="54">
        <f t="shared" si="1"/>
        <v>469898</v>
      </c>
      <c r="Z31" s="54">
        <f t="shared" si="2"/>
        <v>477898</v>
      </c>
      <c r="AA31" s="54">
        <f t="shared" si="3"/>
        <v>477898</v>
      </c>
      <c r="AB31" s="54" t="str">
        <f t="shared" si="4"/>
        <v>Cadre</v>
      </c>
      <c r="AC31" s="54">
        <f t="shared" si="5"/>
        <v>20160</v>
      </c>
      <c r="AD31" s="54">
        <f t="shared" si="6"/>
        <v>11470</v>
      </c>
      <c r="AE31" s="54">
        <f t="shared" si="7"/>
        <v>4</v>
      </c>
      <c r="AF31" s="54">
        <f t="shared" si="8"/>
        <v>3600</v>
      </c>
      <c r="AG31" s="54">
        <f t="shared" si="9"/>
        <v>5724000</v>
      </c>
      <c r="AH31" s="54">
        <f t="shared" si="10"/>
        <v>4824000</v>
      </c>
      <c r="AI31" s="54">
        <f t="shared" si="11"/>
        <v>900000</v>
      </c>
      <c r="AJ31" s="54">
        <f t="shared" si="12"/>
        <v>6.5</v>
      </c>
      <c r="AK31" s="54">
        <f t="shared" si="13"/>
        <v>5</v>
      </c>
      <c r="AL31" s="54">
        <f t="shared" si="14"/>
        <v>0.45</v>
      </c>
      <c r="AM31" s="54">
        <f t="shared" si="15"/>
        <v>800000</v>
      </c>
      <c r="AN31" s="54">
        <f t="shared" si="16"/>
        <v>3180000</v>
      </c>
      <c r="AO31" s="54">
        <f t="shared" si="17"/>
        <v>1212400</v>
      </c>
      <c r="AP31" s="54">
        <f t="shared" si="18"/>
        <v>545580</v>
      </c>
      <c r="AQ31" s="54">
        <f t="shared" si="19"/>
        <v>34367</v>
      </c>
      <c r="AR31" s="54">
        <f t="shared" si="20"/>
        <v>85097</v>
      </c>
      <c r="AS31" s="54">
        <f t="shared" si="21"/>
        <v>392801</v>
      </c>
      <c r="AT31" s="54">
        <f t="shared" si="22"/>
        <v>392801</v>
      </c>
      <c r="AU31" s="35">
        <f t="shared" ca="1" si="23"/>
        <v>41</v>
      </c>
      <c r="AV31" s="35">
        <f>IF(AB31="Cadre",0,X31*donnees!#REF!*1.15)</f>
        <v>0</v>
      </c>
      <c r="AW31" s="35">
        <f>IF(AB31="Cadre",0,X31*donnees!#REF!*1.4)</f>
        <v>0</v>
      </c>
      <c r="AX31" s="35">
        <f>IF(AB31="Cadre",0,X31*donnees!#REF!*1.6)</f>
        <v>0</v>
      </c>
      <c r="AY31" s="35">
        <f>IF(AB31="Cadre",0,X31*donnees!#REF!*2)</f>
        <v>0</v>
      </c>
    </row>
    <row r="32" spans="1:51" ht="15.75" x14ac:dyDescent="0.25">
      <c r="A32" s="111">
        <v>31</v>
      </c>
      <c r="B32" s="111" t="s">
        <v>168</v>
      </c>
      <c r="C32" s="111" t="s">
        <v>169</v>
      </c>
      <c r="D32" s="111" t="s">
        <v>170</v>
      </c>
      <c r="E32" s="117">
        <v>28457</v>
      </c>
      <c r="F32" s="111" t="s">
        <v>171</v>
      </c>
      <c r="G32" s="118" t="s">
        <v>50</v>
      </c>
      <c r="H32" s="122" t="s">
        <v>46</v>
      </c>
      <c r="I32" s="113" t="s">
        <v>51</v>
      </c>
      <c r="J32" s="118">
        <v>1</v>
      </c>
      <c r="K32" s="118">
        <v>5</v>
      </c>
      <c r="L32" s="113"/>
      <c r="M32" s="123"/>
      <c r="N32" s="123"/>
      <c r="O32" s="123"/>
      <c r="P32" s="123"/>
      <c r="Q32" s="123"/>
      <c r="R32" s="123">
        <v>10000</v>
      </c>
      <c r="S32" s="123">
        <v>20000</v>
      </c>
      <c r="T32" s="113"/>
      <c r="U32" s="123"/>
      <c r="V32" s="54">
        <v>0</v>
      </c>
      <c r="W32" s="54">
        <v>0</v>
      </c>
      <c r="X32" s="54">
        <f t="shared" si="0"/>
        <v>2711</v>
      </c>
      <c r="Y32" s="54">
        <f t="shared" si="1"/>
        <v>469898</v>
      </c>
      <c r="Z32" s="54">
        <f t="shared" si="2"/>
        <v>489898</v>
      </c>
      <c r="AA32" s="54">
        <f t="shared" si="3"/>
        <v>499898</v>
      </c>
      <c r="AB32" s="54" t="str">
        <f t="shared" si="4"/>
        <v>Cadre</v>
      </c>
      <c r="AC32" s="54">
        <f t="shared" si="5"/>
        <v>20160</v>
      </c>
      <c r="AD32" s="54">
        <f t="shared" si="6"/>
        <v>11758</v>
      </c>
      <c r="AE32" s="54">
        <f t="shared" si="7"/>
        <v>2</v>
      </c>
      <c r="AF32" s="54">
        <f t="shared" si="8"/>
        <v>1800</v>
      </c>
      <c r="AG32" s="54">
        <f t="shared" si="9"/>
        <v>5988000</v>
      </c>
      <c r="AH32" s="54">
        <f t="shared" si="10"/>
        <v>5088000</v>
      </c>
      <c r="AI32" s="54">
        <f t="shared" si="11"/>
        <v>900000</v>
      </c>
      <c r="AJ32" s="54">
        <f t="shared" si="12"/>
        <v>4.5</v>
      </c>
      <c r="AK32" s="54">
        <f t="shared" si="13"/>
        <v>4.5</v>
      </c>
      <c r="AL32" s="54">
        <f t="shared" si="14"/>
        <v>0.4</v>
      </c>
      <c r="AM32" s="54">
        <f t="shared" si="15"/>
        <v>700000</v>
      </c>
      <c r="AN32" s="54">
        <f t="shared" si="16"/>
        <v>2755000</v>
      </c>
      <c r="AO32" s="54">
        <f t="shared" si="17"/>
        <v>1304800</v>
      </c>
      <c r="AP32" s="54">
        <f t="shared" si="18"/>
        <v>521920</v>
      </c>
      <c r="AQ32" s="54">
        <f t="shared" si="19"/>
        <v>50400</v>
      </c>
      <c r="AR32" s="54">
        <f t="shared" si="20"/>
        <v>84118</v>
      </c>
      <c r="AS32" s="54">
        <f t="shared" si="21"/>
        <v>405780</v>
      </c>
      <c r="AT32" s="54">
        <f t="shared" si="22"/>
        <v>405780</v>
      </c>
      <c r="AU32" s="35">
        <f t="shared" ca="1" si="23"/>
        <v>42</v>
      </c>
      <c r="AV32" s="35">
        <f>IF(AB32="Cadre",0,X32*donnees!#REF!*1.15)</f>
        <v>0</v>
      </c>
      <c r="AW32" s="35">
        <f>IF(AB32="Cadre",0,X32*donnees!#REF!*1.4)</f>
        <v>0</v>
      </c>
      <c r="AX32" s="35">
        <f>IF(AB32="Cadre",0,X32*donnees!#REF!*1.6)</f>
        <v>0</v>
      </c>
      <c r="AY32" s="35">
        <f>IF(AB32="Cadre",0,X32*donnees!#REF!*2)</f>
        <v>0</v>
      </c>
    </row>
    <row r="33" spans="1:51" ht="15.75" x14ac:dyDescent="0.25">
      <c r="A33" s="11">
        <v>32</v>
      </c>
      <c r="B33" s="11" t="s">
        <v>172</v>
      </c>
      <c r="C33" s="11" t="s">
        <v>173</v>
      </c>
      <c r="D33" s="11" t="s">
        <v>174</v>
      </c>
      <c r="E33" s="114">
        <v>31140</v>
      </c>
      <c r="F33" s="11" t="s">
        <v>175</v>
      </c>
      <c r="G33" s="115" t="s">
        <v>50</v>
      </c>
      <c r="H33" s="124" t="s">
        <v>47</v>
      </c>
      <c r="I33" s="112" t="s">
        <v>51</v>
      </c>
      <c r="J33" s="115">
        <v>1</v>
      </c>
      <c r="K33" s="115">
        <v>3</v>
      </c>
      <c r="L33" s="112"/>
      <c r="M33" s="121">
        <v>8</v>
      </c>
      <c r="N33" s="121"/>
      <c r="O33" s="121"/>
      <c r="P33" s="121">
        <v>3</v>
      </c>
      <c r="Q33" s="121"/>
      <c r="R33" s="121"/>
      <c r="S33" s="121"/>
      <c r="T33" s="112">
        <v>3000</v>
      </c>
      <c r="U33" s="121"/>
      <c r="V33" s="54">
        <v>0</v>
      </c>
      <c r="W33" s="54">
        <v>0</v>
      </c>
      <c r="X33" s="54">
        <f t="shared" si="0"/>
        <v>2020</v>
      </c>
      <c r="Y33" s="54">
        <f t="shared" si="1"/>
        <v>350127</v>
      </c>
      <c r="Z33" s="54">
        <f t="shared" si="2"/>
        <v>364671</v>
      </c>
      <c r="AA33" s="54">
        <f t="shared" si="3"/>
        <v>364671</v>
      </c>
      <c r="AB33" s="54" t="str">
        <f t="shared" si="4"/>
        <v>Cadre</v>
      </c>
      <c r="AC33" s="54">
        <f t="shared" si="5"/>
        <v>20160</v>
      </c>
      <c r="AD33" s="54">
        <f t="shared" si="6"/>
        <v>8752</v>
      </c>
      <c r="AE33" s="54">
        <f t="shared" si="7"/>
        <v>2</v>
      </c>
      <c r="AF33" s="54">
        <f t="shared" si="8"/>
        <v>1800</v>
      </c>
      <c r="AG33" s="54">
        <f t="shared" si="9"/>
        <v>4368000</v>
      </c>
      <c r="AH33" s="54">
        <f t="shared" si="10"/>
        <v>3468000</v>
      </c>
      <c r="AI33" s="54">
        <f t="shared" si="11"/>
        <v>900000</v>
      </c>
      <c r="AJ33" s="54">
        <f t="shared" si="12"/>
        <v>3.5</v>
      </c>
      <c r="AK33" s="54">
        <f t="shared" si="13"/>
        <v>3.5</v>
      </c>
      <c r="AL33" s="54">
        <f t="shared" si="14"/>
        <v>0.3</v>
      </c>
      <c r="AM33" s="54">
        <f t="shared" si="15"/>
        <v>500000</v>
      </c>
      <c r="AN33" s="54">
        <f t="shared" si="16"/>
        <v>2030000</v>
      </c>
      <c r="AO33" s="54">
        <f t="shared" si="17"/>
        <v>764400</v>
      </c>
      <c r="AP33" s="54">
        <f t="shared" si="18"/>
        <v>229320</v>
      </c>
      <c r="AQ33" s="54">
        <f t="shared" si="19"/>
        <v>22033</v>
      </c>
      <c r="AR33" s="54">
        <f t="shared" si="20"/>
        <v>55745</v>
      </c>
      <c r="AS33" s="54">
        <f t="shared" si="21"/>
        <v>308926</v>
      </c>
      <c r="AT33" s="54">
        <f t="shared" si="22"/>
        <v>308926</v>
      </c>
      <c r="AU33" s="35">
        <f t="shared" ca="1" si="23"/>
        <v>35</v>
      </c>
      <c r="AV33" s="35">
        <f>IF(AB33="Cadre",0,X33*donnees!#REF!*1.15)</f>
        <v>0</v>
      </c>
      <c r="AW33" s="35">
        <f>IF(AB33="Cadre",0,X33*donnees!#REF!*1.4)</f>
        <v>0</v>
      </c>
      <c r="AX33" s="35">
        <f>IF(AB33="Cadre",0,X33*donnees!#REF!*1.6)</f>
        <v>0</v>
      </c>
      <c r="AY33" s="35">
        <f>IF(AB33="Cadre",0,X33*donnees!#REF!*2)</f>
        <v>0</v>
      </c>
    </row>
    <row r="34" spans="1:51" ht="15.75" x14ac:dyDescent="0.25">
      <c r="A34" s="111">
        <v>33</v>
      </c>
      <c r="B34" s="111" t="s">
        <v>176</v>
      </c>
      <c r="C34" s="111" t="s">
        <v>177</v>
      </c>
      <c r="D34" s="111" t="s">
        <v>178</v>
      </c>
      <c r="E34" s="117">
        <v>28377</v>
      </c>
      <c r="F34" s="111" t="s">
        <v>179</v>
      </c>
      <c r="G34" s="118" t="s">
        <v>50</v>
      </c>
      <c r="H34" s="124" t="s">
        <v>47</v>
      </c>
      <c r="I34" s="113" t="s">
        <v>51</v>
      </c>
      <c r="J34" s="118">
        <v>1</v>
      </c>
      <c r="K34" s="118">
        <v>4</v>
      </c>
      <c r="L34" s="113"/>
      <c r="M34" s="123"/>
      <c r="N34" s="123"/>
      <c r="O34" s="123"/>
      <c r="P34" s="123">
        <v>6</v>
      </c>
      <c r="Q34" s="123"/>
      <c r="R34" s="123"/>
      <c r="S34" s="123"/>
      <c r="T34" s="113">
        <v>3000</v>
      </c>
      <c r="U34" s="123"/>
      <c r="V34" s="54">
        <v>0</v>
      </c>
      <c r="W34" s="54">
        <v>0</v>
      </c>
      <c r="X34" s="54">
        <f t="shared" si="0"/>
        <v>2020</v>
      </c>
      <c r="Y34" s="54">
        <f t="shared" si="1"/>
        <v>350127</v>
      </c>
      <c r="Z34" s="54">
        <f t="shared" si="2"/>
        <v>374367</v>
      </c>
      <c r="AA34" s="54">
        <f t="shared" si="3"/>
        <v>374367</v>
      </c>
      <c r="AB34" s="54" t="str">
        <f t="shared" si="4"/>
        <v>Cadre</v>
      </c>
      <c r="AC34" s="54">
        <f t="shared" si="5"/>
        <v>20160</v>
      </c>
      <c r="AD34" s="54">
        <f t="shared" si="6"/>
        <v>8985</v>
      </c>
      <c r="AE34" s="54">
        <f t="shared" si="7"/>
        <v>2</v>
      </c>
      <c r="AF34" s="54">
        <f t="shared" si="8"/>
        <v>1800</v>
      </c>
      <c r="AG34" s="54">
        <f t="shared" si="9"/>
        <v>4488000</v>
      </c>
      <c r="AH34" s="54">
        <f t="shared" si="10"/>
        <v>3588000</v>
      </c>
      <c r="AI34" s="54">
        <f t="shared" si="11"/>
        <v>900000</v>
      </c>
      <c r="AJ34" s="54">
        <f t="shared" si="12"/>
        <v>4</v>
      </c>
      <c r="AK34" s="54">
        <f t="shared" si="13"/>
        <v>4</v>
      </c>
      <c r="AL34" s="54">
        <f t="shared" si="14"/>
        <v>0.35</v>
      </c>
      <c r="AM34" s="54">
        <f t="shared" si="15"/>
        <v>600000</v>
      </c>
      <c r="AN34" s="54">
        <f t="shared" si="16"/>
        <v>2490000</v>
      </c>
      <c r="AO34" s="54">
        <f t="shared" si="17"/>
        <v>800400</v>
      </c>
      <c r="AP34" s="54">
        <f t="shared" si="18"/>
        <v>280140</v>
      </c>
      <c r="AQ34" s="54">
        <f t="shared" si="19"/>
        <v>16700</v>
      </c>
      <c r="AR34" s="54">
        <f t="shared" si="20"/>
        <v>50645</v>
      </c>
      <c r="AS34" s="54">
        <f t="shared" si="21"/>
        <v>323722</v>
      </c>
      <c r="AT34" s="54">
        <f t="shared" si="22"/>
        <v>323722</v>
      </c>
      <c r="AU34" s="35">
        <f t="shared" ca="1" si="23"/>
        <v>42</v>
      </c>
      <c r="AV34" s="35">
        <f>IF(AB34="Cadre",0,X34*donnees!#REF!*1.15)</f>
        <v>0</v>
      </c>
      <c r="AW34" s="35">
        <f>IF(AB34="Cadre",0,X34*donnees!#REF!*1.4)</f>
        <v>0</v>
      </c>
      <c r="AX34" s="35">
        <f>IF(AB34="Cadre",0,X34*donnees!#REF!*1.6)</f>
        <v>0</v>
      </c>
      <c r="AY34" s="35">
        <f>IF(AB34="Cadre",0,X34*donnees!#REF!*2)</f>
        <v>0</v>
      </c>
    </row>
    <row r="35" spans="1:51" ht="15.75" x14ac:dyDescent="0.25">
      <c r="A35" s="11">
        <v>34</v>
      </c>
      <c r="B35" s="11" t="s">
        <v>180</v>
      </c>
      <c r="C35" s="11" t="s">
        <v>181</v>
      </c>
      <c r="D35" s="11" t="s">
        <v>182</v>
      </c>
      <c r="E35" s="114">
        <v>27524</v>
      </c>
      <c r="F35" s="11" t="s">
        <v>183</v>
      </c>
      <c r="G35" s="115" t="s">
        <v>49</v>
      </c>
      <c r="H35" s="124" t="s">
        <v>47</v>
      </c>
      <c r="I35" s="112" t="s">
        <v>51</v>
      </c>
      <c r="J35" s="115">
        <v>0</v>
      </c>
      <c r="K35" s="115">
        <v>2</v>
      </c>
      <c r="L35" s="112"/>
      <c r="M35" s="121">
        <v>8</v>
      </c>
      <c r="N35" s="121"/>
      <c r="O35" s="121"/>
      <c r="P35" s="121"/>
      <c r="Q35" s="121"/>
      <c r="R35" s="121">
        <v>14500</v>
      </c>
      <c r="S35" s="121">
        <v>25000</v>
      </c>
      <c r="T35" s="112"/>
      <c r="U35" s="121">
        <v>10000</v>
      </c>
      <c r="V35" s="54">
        <v>0</v>
      </c>
      <c r="W35" s="54">
        <v>0</v>
      </c>
      <c r="X35" s="54">
        <f t="shared" si="0"/>
        <v>2020</v>
      </c>
      <c r="Y35" s="54">
        <f t="shared" si="1"/>
        <v>350127</v>
      </c>
      <c r="Z35" s="54">
        <f t="shared" si="2"/>
        <v>377551</v>
      </c>
      <c r="AA35" s="54">
        <f t="shared" si="3"/>
        <v>392051</v>
      </c>
      <c r="AB35" s="54" t="str">
        <f t="shared" si="4"/>
        <v>Cadre</v>
      </c>
      <c r="AC35" s="54">
        <f t="shared" si="5"/>
        <v>20160</v>
      </c>
      <c r="AD35" s="54">
        <f t="shared" si="6"/>
        <v>9061</v>
      </c>
      <c r="AE35" s="54">
        <f t="shared" si="7"/>
        <v>1</v>
      </c>
      <c r="AF35" s="54">
        <f t="shared" si="8"/>
        <v>900</v>
      </c>
      <c r="AG35" s="54">
        <f t="shared" si="9"/>
        <v>4704000</v>
      </c>
      <c r="AH35" s="54">
        <f t="shared" si="10"/>
        <v>3804000</v>
      </c>
      <c r="AI35" s="54">
        <f t="shared" si="11"/>
        <v>900000</v>
      </c>
      <c r="AJ35" s="54">
        <f t="shared" si="12"/>
        <v>2.5</v>
      </c>
      <c r="AK35" s="54">
        <f t="shared" si="13"/>
        <v>2.5</v>
      </c>
      <c r="AL35" s="54">
        <f t="shared" si="14"/>
        <v>0.2</v>
      </c>
      <c r="AM35" s="54">
        <f t="shared" si="15"/>
        <v>300000</v>
      </c>
      <c r="AN35" s="54">
        <f t="shared" si="16"/>
        <v>1100000</v>
      </c>
      <c r="AO35" s="54">
        <f t="shared" si="17"/>
        <v>865200</v>
      </c>
      <c r="AP35" s="54">
        <f t="shared" si="18"/>
        <v>173040</v>
      </c>
      <c r="AQ35" s="54">
        <f t="shared" si="19"/>
        <v>47100</v>
      </c>
      <c r="AR35" s="54">
        <f t="shared" si="20"/>
        <v>87221</v>
      </c>
      <c r="AS35" s="54">
        <f t="shared" si="21"/>
        <v>290330</v>
      </c>
      <c r="AT35" s="54">
        <f t="shared" si="22"/>
        <v>290330</v>
      </c>
      <c r="AU35" s="35">
        <f t="shared" ca="1" si="23"/>
        <v>45</v>
      </c>
      <c r="AV35" s="35">
        <f>IF(AB35="Cadre",0,X35*donnees!#REF!*1.15)</f>
        <v>0</v>
      </c>
      <c r="AW35" s="35">
        <f>IF(AB35="Cadre",0,X35*donnees!#REF!*1.4)</f>
        <v>0</v>
      </c>
      <c r="AX35" s="35">
        <f>IF(AB35="Cadre",0,X35*donnees!#REF!*1.6)</f>
        <v>0</v>
      </c>
      <c r="AY35" s="35">
        <f>IF(AB35="Cadre",0,X35*donnees!#REF!*2)</f>
        <v>0</v>
      </c>
    </row>
    <row r="36" spans="1:51" ht="15.75" x14ac:dyDescent="0.25">
      <c r="A36" s="111">
        <v>35</v>
      </c>
      <c r="B36" s="111" t="s">
        <v>184</v>
      </c>
      <c r="C36" s="111" t="s">
        <v>185</v>
      </c>
      <c r="D36" s="111" t="s">
        <v>186</v>
      </c>
      <c r="E36" s="117">
        <v>30179</v>
      </c>
      <c r="F36" s="111" t="s">
        <v>187</v>
      </c>
      <c r="G36" s="118" t="s">
        <v>50</v>
      </c>
      <c r="H36" s="124" t="s">
        <v>47</v>
      </c>
      <c r="I36" s="113" t="s">
        <v>51</v>
      </c>
      <c r="J36" s="118">
        <v>2</v>
      </c>
      <c r="K36" s="118">
        <v>4</v>
      </c>
      <c r="L36" s="113"/>
      <c r="M36" s="123"/>
      <c r="N36" s="123"/>
      <c r="O36" s="123"/>
      <c r="P36" s="123">
        <v>2</v>
      </c>
      <c r="Q36" s="123"/>
      <c r="R36" s="123"/>
      <c r="S36" s="123"/>
      <c r="T36" s="113"/>
      <c r="U36" s="123"/>
      <c r="V36" s="54">
        <v>0</v>
      </c>
      <c r="W36" s="54">
        <v>0</v>
      </c>
      <c r="X36" s="54">
        <f t="shared" si="0"/>
        <v>2020</v>
      </c>
      <c r="Y36" s="54">
        <f t="shared" si="1"/>
        <v>350127</v>
      </c>
      <c r="Z36" s="54">
        <f t="shared" si="2"/>
        <v>358207</v>
      </c>
      <c r="AA36" s="54">
        <f t="shared" si="3"/>
        <v>358207</v>
      </c>
      <c r="AB36" s="54" t="str">
        <f t="shared" si="4"/>
        <v>Général</v>
      </c>
      <c r="AC36" s="54">
        <f t="shared" si="5"/>
        <v>20059.592000000001</v>
      </c>
      <c r="AD36" s="54">
        <f t="shared" si="6"/>
        <v>0</v>
      </c>
      <c r="AE36" s="54">
        <f t="shared" si="7"/>
        <v>3</v>
      </c>
      <c r="AF36" s="54">
        <f t="shared" si="8"/>
        <v>2700</v>
      </c>
      <c r="AG36" s="54">
        <f t="shared" si="9"/>
        <v>4296000</v>
      </c>
      <c r="AH36" s="54">
        <f t="shared" si="10"/>
        <v>3396000</v>
      </c>
      <c r="AI36" s="54">
        <f t="shared" si="11"/>
        <v>900000</v>
      </c>
      <c r="AJ36" s="54">
        <f t="shared" si="12"/>
        <v>4.5</v>
      </c>
      <c r="AK36" s="54">
        <f t="shared" si="13"/>
        <v>4.5</v>
      </c>
      <c r="AL36" s="54">
        <f t="shared" si="14"/>
        <v>0.4</v>
      </c>
      <c r="AM36" s="54">
        <f t="shared" si="15"/>
        <v>700000</v>
      </c>
      <c r="AN36" s="54">
        <f t="shared" si="16"/>
        <v>2755000</v>
      </c>
      <c r="AO36" s="54">
        <f t="shared" si="17"/>
        <v>742800</v>
      </c>
      <c r="AP36" s="54">
        <f t="shared" si="18"/>
        <v>297120</v>
      </c>
      <c r="AQ36" s="54">
        <f t="shared" si="19"/>
        <v>3567</v>
      </c>
      <c r="AR36" s="54">
        <f t="shared" si="20"/>
        <v>26326.592000000001</v>
      </c>
      <c r="AS36" s="54">
        <f t="shared" si="21"/>
        <v>331880.408</v>
      </c>
      <c r="AT36" s="54">
        <f t="shared" si="22"/>
        <v>331880.408</v>
      </c>
      <c r="AU36" s="35">
        <f t="shared" ca="1" si="23"/>
        <v>37</v>
      </c>
      <c r="AV36" s="35" t="e">
        <f>IF(AB36="Cadre",0,X36*donnees!#REF!*1.15)</f>
        <v>#REF!</v>
      </c>
      <c r="AW36" s="35" t="e">
        <f>IF(AB36="Cadre",0,X36*donnees!#REF!*1.4)</f>
        <v>#REF!</v>
      </c>
      <c r="AX36" s="35" t="e">
        <f>IF(AB36="Cadre",0,X36*donnees!#REF!*1.6)</f>
        <v>#REF!</v>
      </c>
      <c r="AY36" s="35" t="e">
        <f>IF(AB36="Cadre",0,X36*donnees!#REF!*2)</f>
        <v>#REF!</v>
      </c>
    </row>
    <row r="37" spans="1:51" ht="15.75" x14ac:dyDescent="0.25">
      <c r="A37" s="11">
        <v>36</v>
      </c>
      <c r="B37" s="11" t="s">
        <v>188</v>
      </c>
      <c r="C37" s="11" t="s">
        <v>189</v>
      </c>
      <c r="D37" s="11" t="s">
        <v>190</v>
      </c>
      <c r="E37" s="114">
        <v>28296</v>
      </c>
      <c r="F37" s="11" t="s">
        <v>191</v>
      </c>
      <c r="G37" s="115" t="s">
        <v>50</v>
      </c>
      <c r="H37" s="124" t="s">
        <v>47</v>
      </c>
      <c r="I37" s="112" t="s">
        <v>51</v>
      </c>
      <c r="J37" s="115">
        <v>1</v>
      </c>
      <c r="K37" s="115">
        <v>6</v>
      </c>
      <c r="L37" s="112"/>
      <c r="M37" s="121"/>
      <c r="N37" s="121"/>
      <c r="O37" s="121"/>
      <c r="P37" s="121">
        <v>4</v>
      </c>
      <c r="Q37" s="121"/>
      <c r="R37" s="121"/>
      <c r="S37" s="121"/>
      <c r="T37" s="112"/>
      <c r="U37" s="121">
        <v>13000</v>
      </c>
      <c r="V37" s="54">
        <v>0</v>
      </c>
      <c r="W37" s="54">
        <v>0</v>
      </c>
      <c r="X37" s="54">
        <f t="shared" si="0"/>
        <v>2020</v>
      </c>
      <c r="Y37" s="54">
        <f t="shared" si="1"/>
        <v>350127</v>
      </c>
      <c r="Z37" s="54">
        <f t="shared" si="2"/>
        <v>366287</v>
      </c>
      <c r="AA37" s="54">
        <f t="shared" si="3"/>
        <v>366287</v>
      </c>
      <c r="AB37" s="54" t="str">
        <f t="shared" si="4"/>
        <v>Cadre</v>
      </c>
      <c r="AC37" s="54">
        <f t="shared" si="5"/>
        <v>20160</v>
      </c>
      <c r="AD37" s="54">
        <f t="shared" si="6"/>
        <v>8791</v>
      </c>
      <c r="AE37" s="54">
        <f t="shared" si="7"/>
        <v>2</v>
      </c>
      <c r="AF37" s="54">
        <f t="shared" si="8"/>
        <v>1800</v>
      </c>
      <c r="AG37" s="54">
        <f t="shared" si="9"/>
        <v>4392000</v>
      </c>
      <c r="AH37" s="54">
        <f t="shared" si="10"/>
        <v>3492000</v>
      </c>
      <c r="AI37" s="54">
        <f t="shared" si="11"/>
        <v>900000</v>
      </c>
      <c r="AJ37" s="54">
        <f t="shared" si="12"/>
        <v>5</v>
      </c>
      <c r="AK37" s="54">
        <f t="shared" si="13"/>
        <v>5</v>
      </c>
      <c r="AL37" s="54">
        <f t="shared" si="14"/>
        <v>0.45</v>
      </c>
      <c r="AM37" s="54">
        <f t="shared" si="15"/>
        <v>800000</v>
      </c>
      <c r="AN37" s="54">
        <f t="shared" si="16"/>
        <v>3180000</v>
      </c>
      <c r="AO37" s="54">
        <f t="shared" si="17"/>
        <v>771600</v>
      </c>
      <c r="AP37" s="54">
        <f t="shared" si="18"/>
        <v>347220</v>
      </c>
      <c r="AQ37" s="54">
        <f t="shared" si="19"/>
        <v>-2367</v>
      </c>
      <c r="AR37" s="54">
        <f t="shared" si="20"/>
        <v>41384</v>
      </c>
      <c r="AS37" s="54">
        <f t="shared" si="21"/>
        <v>324903</v>
      </c>
      <c r="AT37" s="54">
        <f t="shared" si="22"/>
        <v>324903</v>
      </c>
      <c r="AU37" s="35">
        <f t="shared" ca="1" si="23"/>
        <v>43</v>
      </c>
      <c r="AV37" s="35">
        <f>IF(AB37="Cadre",0,X37*donnees!#REF!*1.15)</f>
        <v>0</v>
      </c>
      <c r="AW37" s="35">
        <f>IF(AB37="Cadre",0,X37*donnees!#REF!*1.4)</f>
        <v>0</v>
      </c>
      <c r="AX37" s="35">
        <f>IF(AB37="Cadre",0,X37*donnees!#REF!*1.6)</f>
        <v>0</v>
      </c>
      <c r="AY37" s="35">
        <f>IF(AB37="Cadre",0,X37*donnees!#REF!*2)</f>
        <v>0</v>
      </c>
    </row>
    <row r="38" spans="1:51" ht="15.75" x14ac:dyDescent="0.25">
      <c r="A38" s="111">
        <v>37</v>
      </c>
      <c r="B38" s="111" t="s">
        <v>192</v>
      </c>
      <c r="C38" s="111" t="s">
        <v>174</v>
      </c>
      <c r="D38" s="111" t="s">
        <v>193</v>
      </c>
      <c r="E38" s="117">
        <v>28795</v>
      </c>
      <c r="F38" s="111" t="s">
        <v>98</v>
      </c>
      <c r="G38" s="118" t="s">
        <v>50</v>
      </c>
      <c r="H38" s="119" t="s">
        <v>48</v>
      </c>
      <c r="I38" s="113" t="s">
        <v>65</v>
      </c>
      <c r="J38" s="118">
        <v>0</v>
      </c>
      <c r="K38" s="118">
        <v>0</v>
      </c>
      <c r="L38" s="123">
        <v>10000</v>
      </c>
      <c r="M38" s="123"/>
      <c r="N38" s="123"/>
      <c r="O38" s="123"/>
      <c r="P38" s="123"/>
      <c r="Q38" s="123"/>
      <c r="R38" s="123"/>
      <c r="S38" s="123"/>
      <c r="T38" s="113">
        <v>3000</v>
      </c>
      <c r="U38" s="123"/>
      <c r="V38" s="54">
        <v>0</v>
      </c>
      <c r="W38" s="54">
        <v>0</v>
      </c>
      <c r="X38" s="54">
        <f t="shared" si="0"/>
        <v>1385</v>
      </c>
      <c r="Y38" s="54">
        <f t="shared" si="1"/>
        <v>240062</v>
      </c>
      <c r="Z38" s="54">
        <f t="shared" si="2"/>
        <v>250062</v>
      </c>
      <c r="AA38" s="54">
        <f t="shared" si="3"/>
        <v>250062</v>
      </c>
      <c r="AB38" s="54" t="str">
        <f t="shared" si="4"/>
        <v>Général</v>
      </c>
      <c r="AC38" s="54">
        <f t="shared" si="5"/>
        <v>14003.472</v>
      </c>
      <c r="AD38" s="54">
        <f t="shared" si="6"/>
        <v>0</v>
      </c>
      <c r="AE38" s="54" t="b">
        <f t="shared" si="7"/>
        <v>0</v>
      </c>
      <c r="AF38" s="54">
        <f t="shared" si="8"/>
        <v>0</v>
      </c>
      <c r="AG38" s="54">
        <f t="shared" si="9"/>
        <v>3000000</v>
      </c>
      <c r="AH38" s="54">
        <f t="shared" si="10"/>
        <v>2100000</v>
      </c>
      <c r="AI38" s="54">
        <f t="shared" si="11"/>
        <v>900000</v>
      </c>
      <c r="AJ38" s="54" t="b">
        <f t="shared" si="12"/>
        <v>0</v>
      </c>
      <c r="AK38" s="54">
        <f t="shared" si="13"/>
        <v>5</v>
      </c>
      <c r="AL38" s="54">
        <f t="shared" si="14"/>
        <v>0.45</v>
      </c>
      <c r="AM38" s="54">
        <f t="shared" si="15"/>
        <v>800000</v>
      </c>
      <c r="AN38" s="54">
        <f t="shared" si="16"/>
        <v>3180000</v>
      </c>
      <c r="AO38" s="54">
        <f t="shared" si="17"/>
        <v>354000</v>
      </c>
      <c r="AP38" s="54">
        <f t="shared" si="18"/>
        <v>159300</v>
      </c>
      <c r="AQ38" s="54">
        <f t="shared" si="19"/>
        <v>-37167</v>
      </c>
      <c r="AR38" s="54">
        <f t="shared" si="20"/>
        <v>-20163.527999999998</v>
      </c>
      <c r="AS38" s="54">
        <f t="shared" si="21"/>
        <v>270225.52799999999</v>
      </c>
      <c r="AT38" s="54">
        <f t="shared" si="22"/>
        <v>270225.52799999999</v>
      </c>
      <c r="AU38" s="35">
        <f t="shared" ca="1" si="23"/>
        <v>41</v>
      </c>
      <c r="AV38" s="35" t="e">
        <f>IF(AB38="Cadre",0,X38*donnees!#REF!*1.15)</f>
        <v>#REF!</v>
      </c>
      <c r="AW38" s="35" t="e">
        <f>IF(AB38="Cadre",0,X38*donnees!#REF!*1.4)</f>
        <v>#REF!</v>
      </c>
      <c r="AX38" s="35" t="e">
        <f>IF(AB38="Cadre",0,X38*donnees!#REF!*1.6)</f>
        <v>#REF!</v>
      </c>
      <c r="AY38" s="35" t="e">
        <f>IF(AB38="Cadre",0,X38*donnees!#REF!*2)</f>
        <v>#REF!</v>
      </c>
    </row>
    <row r="39" spans="1:51" ht="15.75" x14ac:dyDescent="0.25">
      <c r="A39" s="11">
        <v>38</v>
      </c>
      <c r="B39" s="11" t="s">
        <v>194</v>
      </c>
      <c r="C39" s="11" t="s">
        <v>195</v>
      </c>
      <c r="D39" s="11" t="s">
        <v>193</v>
      </c>
      <c r="E39" s="114">
        <v>27843</v>
      </c>
      <c r="F39" s="11" t="s">
        <v>102</v>
      </c>
      <c r="G39" s="115" t="s">
        <v>50</v>
      </c>
      <c r="H39" s="122" t="s">
        <v>46</v>
      </c>
      <c r="I39" s="112" t="s">
        <v>65</v>
      </c>
      <c r="J39" s="115">
        <v>0</v>
      </c>
      <c r="K39" s="115">
        <v>0</v>
      </c>
      <c r="L39" s="112"/>
      <c r="M39" s="121"/>
      <c r="N39" s="121"/>
      <c r="O39" s="121"/>
      <c r="P39" s="121"/>
      <c r="Q39" s="121">
        <v>10000</v>
      </c>
      <c r="R39" s="121">
        <v>15000</v>
      </c>
      <c r="S39" s="121"/>
      <c r="T39" s="112"/>
      <c r="U39" s="121">
        <v>10000</v>
      </c>
      <c r="V39" s="54">
        <v>0</v>
      </c>
      <c r="W39" s="54">
        <v>0</v>
      </c>
      <c r="X39" s="54">
        <f t="shared" si="0"/>
        <v>2711</v>
      </c>
      <c r="Y39" s="54">
        <f t="shared" si="1"/>
        <v>469898</v>
      </c>
      <c r="Z39" s="54">
        <f t="shared" si="2"/>
        <v>479898</v>
      </c>
      <c r="AA39" s="54">
        <f t="shared" si="3"/>
        <v>494898</v>
      </c>
      <c r="AB39" s="54" t="str">
        <f t="shared" si="4"/>
        <v>Cadre</v>
      </c>
      <c r="AC39" s="54">
        <f t="shared" si="5"/>
        <v>20160</v>
      </c>
      <c r="AD39" s="54">
        <f t="shared" si="6"/>
        <v>11518</v>
      </c>
      <c r="AE39" s="54" t="b">
        <f t="shared" si="7"/>
        <v>0</v>
      </c>
      <c r="AF39" s="54">
        <f t="shared" si="8"/>
        <v>0</v>
      </c>
      <c r="AG39" s="54">
        <f t="shared" si="9"/>
        <v>5928000</v>
      </c>
      <c r="AH39" s="54">
        <f t="shared" si="10"/>
        <v>5028000</v>
      </c>
      <c r="AI39" s="54">
        <f t="shared" si="11"/>
        <v>900000</v>
      </c>
      <c r="AJ39" s="54" t="b">
        <f t="shared" si="12"/>
        <v>0</v>
      </c>
      <c r="AK39" s="54">
        <f t="shared" si="13"/>
        <v>5</v>
      </c>
      <c r="AL39" s="54">
        <f t="shared" si="14"/>
        <v>0.45</v>
      </c>
      <c r="AM39" s="54">
        <f t="shared" si="15"/>
        <v>800000</v>
      </c>
      <c r="AN39" s="54">
        <f t="shared" si="16"/>
        <v>3180000</v>
      </c>
      <c r="AO39" s="54">
        <f t="shared" si="17"/>
        <v>1283800</v>
      </c>
      <c r="AP39" s="54">
        <f t="shared" si="18"/>
        <v>577710</v>
      </c>
      <c r="AQ39" s="54">
        <f t="shared" si="19"/>
        <v>40317</v>
      </c>
      <c r="AR39" s="54">
        <f t="shared" si="20"/>
        <v>81995</v>
      </c>
      <c r="AS39" s="54">
        <f t="shared" si="21"/>
        <v>397903</v>
      </c>
      <c r="AT39" s="54">
        <f t="shared" si="22"/>
        <v>397903</v>
      </c>
      <c r="AU39" s="35">
        <f t="shared" ca="1" si="23"/>
        <v>44</v>
      </c>
      <c r="AV39" s="35">
        <f>IF(AB39="Cadre",0,X39*donnees!#REF!*1.15)</f>
        <v>0</v>
      </c>
      <c r="AW39" s="35">
        <f>IF(AB39="Cadre",0,X39*donnees!#REF!*1.4)</f>
        <v>0</v>
      </c>
      <c r="AX39" s="35">
        <f>IF(AB39="Cadre",0,X39*donnees!#REF!*1.6)</f>
        <v>0</v>
      </c>
      <c r="AY39" s="35">
        <f>IF(AB39="Cadre",0,X39*donnees!#REF!*2)</f>
        <v>0</v>
      </c>
    </row>
    <row r="40" spans="1:51" ht="15.75" x14ac:dyDescent="0.25">
      <c r="A40" s="111">
        <v>39</v>
      </c>
      <c r="B40" s="111" t="s">
        <v>196</v>
      </c>
      <c r="C40" s="111" t="s">
        <v>197</v>
      </c>
      <c r="D40" s="111" t="s">
        <v>198</v>
      </c>
      <c r="E40" s="117">
        <v>28052</v>
      </c>
      <c r="F40" s="111" t="s">
        <v>199</v>
      </c>
      <c r="G40" s="118" t="s">
        <v>49</v>
      </c>
      <c r="H40" s="119" t="s">
        <v>48</v>
      </c>
      <c r="I40" s="113" t="s">
        <v>65</v>
      </c>
      <c r="J40" s="118">
        <v>0</v>
      </c>
      <c r="K40" s="118">
        <v>0</v>
      </c>
      <c r="L40" s="113"/>
      <c r="M40" s="123"/>
      <c r="N40" s="123"/>
      <c r="O40" s="123"/>
      <c r="P40" s="123"/>
      <c r="Q40" s="123"/>
      <c r="R40" s="123"/>
      <c r="S40" s="123"/>
      <c r="T40" s="113"/>
      <c r="U40" s="123"/>
      <c r="V40" s="54">
        <v>0</v>
      </c>
      <c r="W40" s="54">
        <v>0</v>
      </c>
      <c r="X40" s="54">
        <f t="shared" si="0"/>
        <v>1385</v>
      </c>
      <c r="Y40" s="54">
        <f t="shared" si="1"/>
        <v>240062</v>
      </c>
      <c r="Z40" s="54">
        <f t="shared" si="2"/>
        <v>240062</v>
      </c>
      <c r="AA40" s="54">
        <f t="shared" si="3"/>
        <v>240062</v>
      </c>
      <c r="AB40" s="54" t="str">
        <f t="shared" si="4"/>
        <v>Général</v>
      </c>
      <c r="AC40" s="54">
        <f t="shared" si="5"/>
        <v>13443.472</v>
      </c>
      <c r="AD40" s="54">
        <f t="shared" si="6"/>
        <v>0</v>
      </c>
      <c r="AE40" s="54" t="b">
        <f t="shared" si="7"/>
        <v>0</v>
      </c>
      <c r="AF40" s="54">
        <f t="shared" si="8"/>
        <v>0</v>
      </c>
      <c r="AG40" s="54">
        <f t="shared" si="9"/>
        <v>2880000</v>
      </c>
      <c r="AH40" s="54">
        <f t="shared" si="10"/>
        <v>2016000</v>
      </c>
      <c r="AI40" s="54">
        <f t="shared" si="11"/>
        <v>864000</v>
      </c>
      <c r="AJ40" s="54" t="b">
        <f t="shared" si="12"/>
        <v>0</v>
      </c>
      <c r="AK40" s="54">
        <f t="shared" si="13"/>
        <v>5</v>
      </c>
      <c r="AL40" s="54">
        <f t="shared" si="14"/>
        <v>0.45</v>
      </c>
      <c r="AM40" s="54">
        <f t="shared" si="15"/>
        <v>800000</v>
      </c>
      <c r="AN40" s="54">
        <f t="shared" si="16"/>
        <v>3180000</v>
      </c>
      <c r="AO40" s="54">
        <f t="shared" si="17"/>
        <v>328800</v>
      </c>
      <c r="AP40" s="54">
        <f t="shared" si="18"/>
        <v>147960</v>
      </c>
      <c r="AQ40" s="54">
        <f t="shared" si="19"/>
        <v>-39267</v>
      </c>
      <c r="AR40" s="54">
        <f t="shared" si="20"/>
        <v>-25823.527999999998</v>
      </c>
      <c r="AS40" s="54">
        <f t="shared" si="21"/>
        <v>265885.52799999999</v>
      </c>
      <c r="AT40" s="54">
        <f t="shared" si="22"/>
        <v>265885.52799999999</v>
      </c>
      <c r="AU40" s="35">
        <f t="shared" ca="1" si="23"/>
        <v>43</v>
      </c>
      <c r="AV40" s="35" t="e">
        <f>IF(AB40="Cadre",0,X40*donnees!#REF!*1.15)</f>
        <v>#REF!</v>
      </c>
      <c r="AW40" s="35" t="e">
        <f>IF(AB40="Cadre",0,X40*donnees!#REF!*1.4)</f>
        <v>#REF!</v>
      </c>
      <c r="AX40" s="35" t="e">
        <f>IF(AB40="Cadre",0,X40*donnees!#REF!*1.6)</f>
        <v>#REF!</v>
      </c>
      <c r="AY40" s="35" t="e">
        <f>IF(AB40="Cadre",0,X40*donnees!#REF!*2)</f>
        <v>#REF!</v>
      </c>
    </row>
    <row r="41" spans="1:51" ht="15.75" x14ac:dyDescent="0.25">
      <c r="A41" s="11">
        <v>40</v>
      </c>
      <c r="B41" s="11" t="s">
        <v>200</v>
      </c>
      <c r="C41" s="11" t="s">
        <v>201</v>
      </c>
      <c r="D41" s="11" t="s">
        <v>198</v>
      </c>
      <c r="E41" s="114">
        <v>29722</v>
      </c>
      <c r="F41" s="11" t="s">
        <v>73</v>
      </c>
      <c r="G41" s="115" t="s">
        <v>50</v>
      </c>
      <c r="H41" s="119" t="s">
        <v>48</v>
      </c>
      <c r="I41" s="112" t="s">
        <v>65</v>
      </c>
      <c r="J41" s="115">
        <v>0</v>
      </c>
      <c r="K41" s="115">
        <v>0</v>
      </c>
      <c r="L41" s="112"/>
      <c r="M41" s="121">
        <v>8</v>
      </c>
      <c r="N41" s="121">
        <v>5</v>
      </c>
      <c r="O41" s="121"/>
      <c r="P41" s="121"/>
      <c r="Q41" s="121"/>
      <c r="R41" s="121"/>
      <c r="S41" s="121"/>
      <c r="T41" s="112">
        <v>5000</v>
      </c>
      <c r="U41" s="121"/>
      <c r="V41" s="54">
        <v>0</v>
      </c>
      <c r="W41" s="54">
        <v>0</v>
      </c>
      <c r="X41" s="54">
        <f t="shared" si="0"/>
        <v>1385</v>
      </c>
      <c r="Y41" s="54">
        <f t="shared" si="1"/>
        <v>240062</v>
      </c>
      <c r="Z41" s="54">
        <f t="shared" si="2"/>
        <v>244494</v>
      </c>
      <c r="AA41" s="54">
        <f t="shared" si="3"/>
        <v>244494</v>
      </c>
      <c r="AB41" s="54" t="str">
        <f t="shared" si="4"/>
        <v>Général</v>
      </c>
      <c r="AC41" s="54">
        <f t="shared" si="5"/>
        <v>13691.664000000001</v>
      </c>
      <c r="AD41" s="54">
        <f t="shared" si="6"/>
        <v>0</v>
      </c>
      <c r="AE41" s="54" t="b">
        <f t="shared" si="7"/>
        <v>0</v>
      </c>
      <c r="AF41" s="54">
        <f t="shared" si="8"/>
        <v>0</v>
      </c>
      <c r="AG41" s="54">
        <f t="shared" si="9"/>
        <v>2928000</v>
      </c>
      <c r="AH41" s="54">
        <f t="shared" si="10"/>
        <v>2049600</v>
      </c>
      <c r="AI41" s="54">
        <f t="shared" si="11"/>
        <v>878400</v>
      </c>
      <c r="AJ41" s="54" t="b">
        <f t="shared" si="12"/>
        <v>0</v>
      </c>
      <c r="AK41" s="54">
        <f t="shared" si="13"/>
        <v>5</v>
      </c>
      <c r="AL41" s="54">
        <f t="shared" si="14"/>
        <v>0.45</v>
      </c>
      <c r="AM41" s="54">
        <f t="shared" si="15"/>
        <v>800000</v>
      </c>
      <c r="AN41" s="54">
        <f t="shared" si="16"/>
        <v>3180000</v>
      </c>
      <c r="AO41" s="54">
        <f t="shared" si="17"/>
        <v>338880</v>
      </c>
      <c r="AP41" s="54">
        <f t="shared" si="18"/>
        <v>152496</v>
      </c>
      <c r="AQ41" s="54">
        <f t="shared" si="19"/>
        <v>-38427</v>
      </c>
      <c r="AR41" s="54">
        <f t="shared" si="20"/>
        <v>-19735.335999999999</v>
      </c>
      <c r="AS41" s="54">
        <f t="shared" si="21"/>
        <v>264229.33600000001</v>
      </c>
      <c r="AT41" s="54">
        <f t="shared" si="22"/>
        <v>264229.33600000001</v>
      </c>
      <c r="AU41" s="35">
        <f t="shared" ca="1" si="23"/>
        <v>39</v>
      </c>
      <c r="AV41" s="35" t="e">
        <f>IF(AB41="Cadre",0,X41*donnees!#REF!*1.15)</f>
        <v>#REF!</v>
      </c>
      <c r="AW41" s="35" t="e">
        <f>IF(AB41="Cadre",0,X41*donnees!#REF!*1.4)</f>
        <v>#REF!</v>
      </c>
      <c r="AX41" s="35" t="e">
        <f>IF(AB41="Cadre",0,X41*donnees!#REF!*1.6)</f>
        <v>#REF!</v>
      </c>
      <c r="AY41" s="35" t="e">
        <f>IF(AB41="Cadre",0,X41*donnees!#REF!*2)</f>
        <v>#REF!</v>
      </c>
    </row>
    <row r="42" spans="1:51" ht="15.75" x14ac:dyDescent="0.25">
      <c r="A42" s="111">
        <v>41</v>
      </c>
      <c r="B42" s="111" t="s">
        <v>202</v>
      </c>
      <c r="C42" s="111" t="s">
        <v>203</v>
      </c>
      <c r="D42" s="111" t="s">
        <v>204</v>
      </c>
      <c r="E42" s="117">
        <v>28366</v>
      </c>
      <c r="F42" s="111" t="s">
        <v>60</v>
      </c>
      <c r="G42" s="118" t="s">
        <v>50</v>
      </c>
      <c r="H42" s="122" t="s">
        <v>46</v>
      </c>
      <c r="I42" s="113" t="s">
        <v>65</v>
      </c>
      <c r="J42" s="118">
        <v>0</v>
      </c>
      <c r="K42" s="118">
        <v>1</v>
      </c>
      <c r="L42" s="113"/>
      <c r="M42" s="123"/>
      <c r="N42" s="123"/>
      <c r="O42" s="123"/>
      <c r="P42" s="123"/>
      <c r="Q42" s="123"/>
      <c r="R42" s="123">
        <v>55000</v>
      </c>
      <c r="S42" s="123"/>
      <c r="T42" s="113">
        <v>2500</v>
      </c>
      <c r="U42" s="123"/>
      <c r="V42" s="123">
        <v>30000</v>
      </c>
      <c r="W42" s="54">
        <v>0</v>
      </c>
      <c r="X42" s="54">
        <f t="shared" si="0"/>
        <v>2711</v>
      </c>
      <c r="Y42" s="54">
        <f t="shared" si="1"/>
        <v>469898</v>
      </c>
      <c r="Z42" s="54">
        <f t="shared" si="2"/>
        <v>469898</v>
      </c>
      <c r="AA42" s="54">
        <f t="shared" si="3"/>
        <v>524898</v>
      </c>
      <c r="AB42" s="54" t="str">
        <f t="shared" si="4"/>
        <v>Cadre</v>
      </c>
      <c r="AC42" s="54">
        <f t="shared" si="5"/>
        <v>20160</v>
      </c>
      <c r="AD42" s="54">
        <f t="shared" si="6"/>
        <v>11278</v>
      </c>
      <c r="AE42" s="54" t="b">
        <f t="shared" si="7"/>
        <v>0</v>
      </c>
      <c r="AF42" s="54">
        <f t="shared" si="8"/>
        <v>0</v>
      </c>
      <c r="AG42" s="54">
        <f t="shared" si="9"/>
        <v>6288000</v>
      </c>
      <c r="AH42" s="54">
        <f t="shared" si="10"/>
        <v>5388000</v>
      </c>
      <c r="AI42" s="54">
        <f t="shared" si="11"/>
        <v>900000</v>
      </c>
      <c r="AJ42" s="54" t="b">
        <f t="shared" si="12"/>
        <v>0</v>
      </c>
      <c r="AK42" s="54">
        <f t="shared" si="13"/>
        <v>5</v>
      </c>
      <c r="AL42" s="54">
        <f t="shared" si="14"/>
        <v>0.45</v>
      </c>
      <c r="AM42" s="54">
        <f t="shared" si="15"/>
        <v>800000</v>
      </c>
      <c r="AN42" s="54">
        <f t="shared" si="16"/>
        <v>3180000</v>
      </c>
      <c r="AO42" s="54">
        <f t="shared" si="17"/>
        <v>1409800</v>
      </c>
      <c r="AP42" s="54">
        <f t="shared" si="18"/>
        <v>634410</v>
      </c>
      <c r="AQ42" s="54">
        <f t="shared" si="19"/>
        <v>50817</v>
      </c>
      <c r="AR42" s="54">
        <f t="shared" si="20"/>
        <v>114755</v>
      </c>
      <c r="AS42" s="54">
        <f t="shared" si="21"/>
        <v>355143</v>
      </c>
      <c r="AT42" s="54">
        <f t="shared" si="22"/>
        <v>355143</v>
      </c>
      <c r="AU42" s="35">
        <f t="shared" ca="1" si="23"/>
        <v>42</v>
      </c>
      <c r="AV42" s="35">
        <f>IF(AB42="Cadre",0,X42*donnees!#REF!*1.15)</f>
        <v>0</v>
      </c>
      <c r="AW42" s="35">
        <f>IF(AB42="Cadre",0,X42*donnees!#REF!*1.4)</f>
        <v>0</v>
      </c>
      <c r="AX42" s="35">
        <f>IF(AB42="Cadre",0,X42*donnees!#REF!*1.6)</f>
        <v>0</v>
      </c>
      <c r="AY42" s="35">
        <f>IF(AB42="Cadre",0,X42*donnees!#REF!*2)</f>
        <v>0</v>
      </c>
    </row>
    <row r="43" spans="1:51" ht="15.75" x14ac:dyDescent="0.25">
      <c r="A43" s="11">
        <v>42</v>
      </c>
      <c r="B43" s="11" t="s">
        <v>205</v>
      </c>
      <c r="C43" s="11" t="s">
        <v>206</v>
      </c>
      <c r="D43" s="11" t="s">
        <v>207</v>
      </c>
      <c r="E43" s="114">
        <v>28234</v>
      </c>
      <c r="F43" s="11" t="s">
        <v>208</v>
      </c>
      <c r="G43" s="115" t="s">
        <v>50</v>
      </c>
      <c r="H43" s="119" t="s">
        <v>48</v>
      </c>
      <c r="I43" s="112" t="s">
        <v>51</v>
      </c>
      <c r="J43" s="115">
        <v>2</v>
      </c>
      <c r="K43" s="115">
        <v>5</v>
      </c>
      <c r="L43" s="112"/>
      <c r="M43" s="121"/>
      <c r="N43" s="121"/>
      <c r="O43" s="121"/>
      <c r="P43" s="121"/>
      <c r="Q43" s="121"/>
      <c r="R43" s="121"/>
      <c r="S43" s="121"/>
      <c r="T43" s="112"/>
      <c r="U43" s="121">
        <v>10000</v>
      </c>
      <c r="V43" s="121"/>
      <c r="W43" s="54">
        <v>0</v>
      </c>
      <c r="X43" s="54">
        <f t="shared" si="0"/>
        <v>1385</v>
      </c>
      <c r="Y43" s="54">
        <f t="shared" si="1"/>
        <v>240062</v>
      </c>
      <c r="Z43" s="54">
        <f t="shared" si="2"/>
        <v>240062</v>
      </c>
      <c r="AA43" s="54">
        <f t="shared" si="3"/>
        <v>240062</v>
      </c>
      <c r="AB43" s="54" t="str">
        <f t="shared" si="4"/>
        <v>Général</v>
      </c>
      <c r="AC43" s="54">
        <f t="shared" si="5"/>
        <v>13443.472</v>
      </c>
      <c r="AD43" s="54">
        <f t="shared" si="6"/>
        <v>0</v>
      </c>
      <c r="AE43" s="54">
        <f t="shared" si="7"/>
        <v>3</v>
      </c>
      <c r="AF43" s="54">
        <f t="shared" si="8"/>
        <v>2700</v>
      </c>
      <c r="AG43" s="54">
        <f t="shared" si="9"/>
        <v>2880000</v>
      </c>
      <c r="AH43" s="54">
        <f t="shared" si="10"/>
        <v>2016000</v>
      </c>
      <c r="AI43" s="54">
        <f t="shared" si="11"/>
        <v>864000</v>
      </c>
      <c r="AJ43" s="54">
        <f t="shared" si="12"/>
        <v>5</v>
      </c>
      <c r="AK43" s="54">
        <f t="shared" si="13"/>
        <v>5</v>
      </c>
      <c r="AL43" s="54">
        <f t="shared" si="14"/>
        <v>0.45</v>
      </c>
      <c r="AM43" s="54">
        <f t="shared" si="15"/>
        <v>800000</v>
      </c>
      <c r="AN43" s="54">
        <f t="shared" si="16"/>
        <v>3180000</v>
      </c>
      <c r="AO43" s="54">
        <f t="shared" si="17"/>
        <v>328800</v>
      </c>
      <c r="AP43" s="54">
        <f t="shared" si="18"/>
        <v>147960</v>
      </c>
      <c r="AQ43" s="54">
        <f t="shared" si="19"/>
        <v>-39267</v>
      </c>
      <c r="AR43" s="54">
        <f t="shared" si="20"/>
        <v>-13123.527999999998</v>
      </c>
      <c r="AS43" s="54">
        <f t="shared" si="21"/>
        <v>253185.52799999999</v>
      </c>
      <c r="AT43" s="54">
        <f t="shared" si="22"/>
        <v>253185.52799999999</v>
      </c>
      <c r="AU43" s="35">
        <f t="shared" ca="1" si="23"/>
        <v>43</v>
      </c>
      <c r="AV43" s="35" t="e">
        <f>IF(AB43="Cadre",0,X43*donnees!#REF!*1.15)</f>
        <v>#REF!</v>
      </c>
      <c r="AW43" s="35" t="e">
        <f>IF(AB43="Cadre",0,X43*donnees!#REF!*1.4)</f>
        <v>#REF!</v>
      </c>
      <c r="AX43" s="35" t="e">
        <f>IF(AB43="Cadre",0,X43*donnees!#REF!*1.6)</f>
        <v>#REF!</v>
      </c>
      <c r="AY43" s="35" t="e">
        <f>IF(AB43="Cadre",0,X43*donnees!#REF!*2)</f>
        <v>#REF!</v>
      </c>
    </row>
    <row r="44" spans="1:51" ht="15.75" x14ac:dyDescent="0.25">
      <c r="A44" s="111">
        <v>43</v>
      </c>
      <c r="B44" s="111" t="s">
        <v>209</v>
      </c>
      <c r="C44" s="111" t="s">
        <v>210</v>
      </c>
      <c r="D44" s="111" t="s">
        <v>211</v>
      </c>
      <c r="E44" s="117">
        <v>29024</v>
      </c>
      <c r="F44" s="111" t="s">
        <v>212</v>
      </c>
      <c r="G44" s="118" t="s">
        <v>50</v>
      </c>
      <c r="H44" s="119" t="s">
        <v>48</v>
      </c>
      <c r="I44" s="113" t="s">
        <v>51</v>
      </c>
      <c r="J44" s="118">
        <v>1</v>
      </c>
      <c r="K44" s="118">
        <v>1</v>
      </c>
      <c r="L44" s="113"/>
      <c r="M44" s="123">
        <v>8</v>
      </c>
      <c r="N44" s="123">
        <v>5</v>
      </c>
      <c r="O44" s="123"/>
      <c r="P44" s="123">
        <v>3</v>
      </c>
      <c r="Q44" s="123"/>
      <c r="R44" s="123"/>
      <c r="S44" s="123">
        <v>20000</v>
      </c>
      <c r="T44" s="113"/>
      <c r="U44" s="123"/>
      <c r="V44" s="123"/>
      <c r="W44" s="54">
        <v>0</v>
      </c>
      <c r="X44" s="54">
        <f t="shared" si="0"/>
        <v>1385</v>
      </c>
      <c r="Y44" s="54">
        <f t="shared" si="1"/>
        <v>240062</v>
      </c>
      <c r="Z44" s="54">
        <f t="shared" si="2"/>
        <v>272804</v>
      </c>
      <c r="AA44" s="54">
        <f t="shared" si="3"/>
        <v>272804</v>
      </c>
      <c r="AB44" s="54" t="str">
        <f t="shared" si="4"/>
        <v>Général</v>
      </c>
      <c r="AC44" s="54">
        <f t="shared" si="5"/>
        <v>15277.023999999999</v>
      </c>
      <c r="AD44" s="54">
        <f t="shared" si="6"/>
        <v>0</v>
      </c>
      <c r="AE44" s="54">
        <f t="shared" si="7"/>
        <v>2</v>
      </c>
      <c r="AF44" s="54">
        <f t="shared" si="8"/>
        <v>1800</v>
      </c>
      <c r="AG44" s="54">
        <f t="shared" si="9"/>
        <v>3264000</v>
      </c>
      <c r="AH44" s="54">
        <f t="shared" si="10"/>
        <v>2364000</v>
      </c>
      <c r="AI44" s="54">
        <f t="shared" si="11"/>
        <v>900000</v>
      </c>
      <c r="AJ44" s="54">
        <f t="shared" si="12"/>
        <v>2.5</v>
      </c>
      <c r="AK44" s="54">
        <f t="shared" si="13"/>
        <v>2.5</v>
      </c>
      <c r="AL44" s="54">
        <f t="shared" si="14"/>
        <v>0.2</v>
      </c>
      <c r="AM44" s="54">
        <f t="shared" si="15"/>
        <v>300000</v>
      </c>
      <c r="AN44" s="54">
        <f t="shared" si="16"/>
        <v>1100000</v>
      </c>
      <c r="AO44" s="54">
        <f t="shared" si="17"/>
        <v>433200</v>
      </c>
      <c r="AP44" s="54">
        <f t="shared" si="18"/>
        <v>86640</v>
      </c>
      <c r="AQ44" s="54">
        <f t="shared" si="19"/>
        <v>11100</v>
      </c>
      <c r="AR44" s="54">
        <f t="shared" si="20"/>
        <v>28177.023999999998</v>
      </c>
      <c r="AS44" s="54">
        <f t="shared" si="21"/>
        <v>244626.976</v>
      </c>
      <c r="AT44" s="54">
        <f t="shared" si="22"/>
        <v>244626.976</v>
      </c>
      <c r="AU44" s="35">
        <f t="shared" ca="1" si="23"/>
        <v>41</v>
      </c>
      <c r="AV44" s="35" t="e">
        <f>IF(AB44="Cadre",0,X44*donnees!#REF!*1.15)</f>
        <v>#REF!</v>
      </c>
      <c r="AW44" s="35" t="e">
        <f>IF(AB44="Cadre",0,X44*donnees!#REF!*1.4)</f>
        <v>#REF!</v>
      </c>
      <c r="AX44" s="35" t="e">
        <f>IF(AB44="Cadre",0,X44*donnees!#REF!*1.6)</f>
        <v>#REF!</v>
      </c>
      <c r="AY44" s="35" t="e">
        <f>IF(AB44="Cadre",0,X44*donnees!#REF!*2)</f>
        <v>#REF!</v>
      </c>
    </row>
    <row r="45" spans="1:51" ht="15.75" x14ac:dyDescent="0.25">
      <c r="A45" s="11">
        <v>44</v>
      </c>
      <c r="B45" s="11" t="s">
        <v>213</v>
      </c>
      <c r="C45" s="11" t="s">
        <v>214</v>
      </c>
      <c r="D45" s="11" t="s">
        <v>215</v>
      </c>
      <c r="E45" s="114">
        <v>27798</v>
      </c>
      <c r="F45" s="11" t="s">
        <v>175</v>
      </c>
      <c r="G45" s="115" t="s">
        <v>50</v>
      </c>
      <c r="H45" s="124" t="s">
        <v>47</v>
      </c>
      <c r="I45" s="112" t="s">
        <v>51</v>
      </c>
      <c r="J45" s="115">
        <v>1</v>
      </c>
      <c r="K45" s="115">
        <v>1</v>
      </c>
      <c r="L45" s="112"/>
      <c r="M45" s="121"/>
      <c r="N45" s="121"/>
      <c r="O45" s="121"/>
      <c r="P45" s="121">
        <v>2</v>
      </c>
      <c r="Q45" s="121">
        <v>8500</v>
      </c>
      <c r="R45" s="121"/>
      <c r="S45" s="121"/>
      <c r="T45" s="112">
        <v>2500</v>
      </c>
      <c r="U45" s="121"/>
      <c r="V45" s="121"/>
      <c r="W45" s="54">
        <v>0</v>
      </c>
      <c r="X45" s="54">
        <f t="shared" si="0"/>
        <v>2020</v>
      </c>
      <c r="Y45" s="54">
        <f t="shared" si="1"/>
        <v>350127</v>
      </c>
      <c r="Z45" s="54">
        <f t="shared" si="2"/>
        <v>366707</v>
      </c>
      <c r="AA45" s="54">
        <f t="shared" si="3"/>
        <v>366707</v>
      </c>
      <c r="AB45" s="54" t="str">
        <f t="shared" si="4"/>
        <v>Cadre</v>
      </c>
      <c r="AC45" s="54">
        <f t="shared" si="5"/>
        <v>20160</v>
      </c>
      <c r="AD45" s="54">
        <f t="shared" si="6"/>
        <v>8801</v>
      </c>
      <c r="AE45" s="54">
        <f t="shared" si="7"/>
        <v>2</v>
      </c>
      <c r="AF45" s="54">
        <f t="shared" si="8"/>
        <v>1800</v>
      </c>
      <c r="AG45" s="54">
        <f t="shared" si="9"/>
        <v>4392000</v>
      </c>
      <c r="AH45" s="54">
        <f t="shared" si="10"/>
        <v>3492000</v>
      </c>
      <c r="AI45" s="54">
        <f t="shared" si="11"/>
        <v>900000</v>
      </c>
      <c r="AJ45" s="54">
        <f t="shared" si="12"/>
        <v>2.5</v>
      </c>
      <c r="AK45" s="54">
        <f t="shared" si="13"/>
        <v>2.5</v>
      </c>
      <c r="AL45" s="54">
        <f t="shared" si="14"/>
        <v>0.2</v>
      </c>
      <c r="AM45" s="54">
        <f t="shared" si="15"/>
        <v>300000</v>
      </c>
      <c r="AN45" s="54">
        <f t="shared" si="16"/>
        <v>1100000</v>
      </c>
      <c r="AO45" s="54">
        <f t="shared" si="17"/>
        <v>771600</v>
      </c>
      <c r="AP45" s="54">
        <f t="shared" si="18"/>
        <v>154320</v>
      </c>
      <c r="AQ45" s="54">
        <f t="shared" si="19"/>
        <v>39300</v>
      </c>
      <c r="AR45" s="54">
        <f t="shared" si="20"/>
        <v>72561</v>
      </c>
      <c r="AS45" s="54">
        <f t="shared" si="21"/>
        <v>294146</v>
      </c>
      <c r="AT45" s="54">
        <f t="shared" si="22"/>
        <v>294146</v>
      </c>
      <c r="AU45" s="35">
        <f t="shared" ca="1" si="23"/>
        <v>44</v>
      </c>
      <c r="AV45" s="35">
        <f>IF(AB45="Cadre",0,X45*donnees!#REF!*1.15)</f>
        <v>0</v>
      </c>
      <c r="AW45" s="35">
        <f>IF(AB45="Cadre",0,X45*donnees!#REF!*1.4)</f>
        <v>0</v>
      </c>
      <c r="AX45" s="35">
        <f>IF(AB45="Cadre",0,X45*donnees!#REF!*1.6)</f>
        <v>0</v>
      </c>
      <c r="AY45" s="35">
        <f>IF(AB45="Cadre",0,X45*donnees!#REF!*2)</f>
        <v>0</v>
      </c>
    </row>
    <row r="46" spans="1:51" ht="15.75" x14ac:dyDescent="0.25">
      <c r="A46" s="111">
        <v>45</v>
      </c>
      <c r="B46" s="111" t="s">
        <v>216</v>
      </c>
      <c r="C46" s="111" t="s">
        <v>217</v>
      </c>
      <c r="D46" s="111" t="s">
        <v>218</v>
      </c>
      <c r="E46" s="117">
        <v>30764</v>
      </c>
      <c r="F46" s="111" t="s">
        <v>219</v>
      </c>
      <c r="G46" s="118" t="s">
        <v>49</v>
      </c>
      <c r="H46" s="124" t="s">
        <v>47</v>
      </c>
      <c r="I46" s="113" t="s">
        <v>51</v>
      </c>
      <c r="J46" s="118">
        <v>0</v>
      </c>
      <c r="K46" s="118">
        <v>2</v>
      </c>
      <c r="L46" s="123">
        <v>15000</v>
      </c>
      <c r="M46" s="123"/>
      <c r="N46" s="123"/>
      <c r="O46" s="123"/>
      <c r="P46" s="123"/>
      <c r="Q46" s="123"/>
      <c r="R46" s="123">
        <v>31500</v>
      </c>
      <c r="S46" s="123"/>
      <c r="T46" s="113"/>
      <c r="U46" s="123"/>
      <c r="V46" s="123"/>
      <c r="W46" s="54">
        <v>0</v>
      </c>
      <c r="X46" s="54">
        <f t="shared" si="0"/>
        <v>2020</v>
      </c>
      <c r="Y46" s="54">
        <f t="shared" si="1"/>
        <v>350127</v>
      </c>
      <c r="Z46" s="54">
        <f t="shared" si="2"/>
        <v>365127</v>
      </c>
      <c r="AA46" s="54">
        <f t="shared" si="3"/>
        <v>396627</v>
      </c>
      <c r="AB46" s="54" t="str">
        <f t="shared" si="4"/>
        <v>Cadre</v>
      </c>
      <c r="AC46" s="54">
        <f t="shared" si="5"/>
        <v>20160</v>
      </c>
      <c r="AD46" s="54">
        <f t="shared" si="6"/>
        <v>8763</v>
      </c>
      <c r="AE46" s="54">
        <f t="shared" si="7"/>
        <v>1</v>
      </c>
      <c r="AF46" s="54">
        <f t="shared" si="8"/>
        <v>900</v>
      </c>
      <c r="AG46" s="54">
        <f t="shared" si="9"/>
        <v>4752000</v>
      </c>
      <c r="AH46" s="54">
        <f t="shared" si="10"/>
        <v>3852000</v>
      </c>
      <c r="AI46" s="54">
        <f t="shared" si="11"/>
        <v>900000</v>
      </c>
      <c r="AJ46" s="54">
        <f t="shared" si="12"/>
        <v>2.5</v>
      </c>
      <c r="AK46" s="54">
        <f t="shared" si="13"/>
        <v>2.5</v>
      </c>
      <c r="AL46" s="54">
        <f t="shared" si="14"/>
        <v>0.2</v>
      </c>
      <c r="AM46" s="54">
        <f t="shared" si="15"/>
        <v>300000</v>
      </c>
      <c r="AN46" s="54">
        <f t="shared" si="16"/>
        <v>1100000</v>
      </c>
      <c r="AO46" s="54">
        <f t="shared" si="17"/>
        <v>879600</v>
      </c>
      <c r="AP46" s="54">
        <f t="shared" si="18"/>
        <v>175920</v>
      </c>
      <c r="AQ46" s="54">
        <f t="shared" si="19"/>
        <v>48300</v>
      </c>
      <c r="AR46" s="54">
        <f t="shared" si="20"/>
        <v>78123</v>
      </c>
      <c r="AS46" s="54">
        <f t="shared" si="21"/>
        <v>287004</v>
      </c>
      <c r="AT46" s="54">
        <f t="shared" si="22"/>
        <v>287004</v>
      </c>
      <c r="AU46" s="35">
        <f t="shared" ca="1" si="23"/>
        <v>36</v>
      </c>
      <c r="AV46" s="35">
        <f>IF(AB46="Cadre",0,X46*donnees!#REF!*1.15)</f>
        <v>0</v>
      </c>
      <c r="AW46" s="35">
        <f>IF(AB46="Cadre",0,X46*donnees!#REF!*1.4)</f>
        <v>0</v>
      </c>
      <c r="AX46" s="35">
        <f>IF(AB46="Cadre",0,X46*donnees!#REF!*1.6)</f>
        <v>0</v>
      </c>
      <c r="AY46" s="35">
        <f>IF(AB46="Cadre",0,X46*donnees!#REF!*2)</f>
        <v>0</v>
      </c>
    </row>
    <row r="47" spans="1:51" ht="15.75" x14ac:dyDescent="0.25">
      <c r="A47" s="11">
        <v>46</v>
      </c>
      <c r="B47" s="11" t="s">
        <v>220</v>
      </c>
      <c r="C47" s="11" t="s">
        <v>221</v>
      </c>
      <c r="D47" s="11" t="s">
        <v>222</v>
      </c>
      <c r="E47" s="114">
        <v>31015</v>
      </c>
      <c r="F47" s="11" t="s">
        <v>116</v>
      </c>
      <c r="G47" s="115" t="s">
        <v>50</v>
      </c>
      <c r="H47" s="124" t="s">
        <v>47</v>
      </c>
      <c r="I47" s="112" t="s">
        <v>51</v>
      </c>
      <c r="J47" s="115">
        <v>1</v>
      </c>
      <c r="K47" s="115">
        <v>1</v>
      </c>
      <c r="L47" s="112"/>
      <c r="M47" s="121">
        <v>8</v>
      </c>
      <c r="N47" s="121">
        <v>5</v>
      </c>
      <c r="O47" s="121"/>
      <c r="P47" s="121">
        <v>4</v>
      </c>
      <c r="Q47" s="121"/>
      <c r="R47" s="121"/>
      <c r="S47" s="121"/>
      <c r="T47" s="112"/>
      <c r="U47" s="121">
        <v>15000</v>
      </c>
      <c r="V47" s="121"/>
      <c r="W47" s="54">
        <v>0</v>
      </c>
      <c r="X47" s="54">
        <f t="shared" si="0"/>
        <v>2020</v>
      </c>
      <c r="Y47" s="54">
        <f t="shared" si="1"/>
        <v>350127</v>
      </c>
      <c r="Z47" s="54">
        <f t="shared" si="2"/>
        <v>372751</v>
      </c>
      <c r="AA47" s="54">
        <f t="shared" si="3"/>
        <v>372751</v>
      </c>
      <c r="AB47" s="54" t="str">
        <f t="shared" si="4"/>
        <v>Cadre</v>
      </c>
      <c r="AC47" s="54">
        <f t="shared" si="5"/>
        <v>20160</v>
      </c>
      <c r="AD47" s="54">
        <f t="shared" si="6"/>
        <v>8946</v>
      </c>
      <c r="AE47" s="54">
        <f t="shared" si="7"/>
        <v>2</v>
      </c>
      <c r="AF47" s="54">
        <f t="shared" si="8"/>
        <v>1800</v>
      </c>
      <c r="AG47" s="54">
        <f t="shared" si="9"/>
        <v>4464000</v>
      </c>
      <c r="AH47" s="54">
        <f t="shared" si="10"/>
        <v>3564000</v>
      </c>
      <c r="AI47" s="54">
        <f t="shared" si="11"/>
        <v>900000</v>
      </c>
      <c r="AJ47" s="54">
        <f t="shared" si="12"/>
        <v>2.5</v>
      </c>
      <c r="AK47" s="54">
        <f t="shared" si="13"/>
        <v>2.5</v>
      </c>
      <c r="AL47" s="54">
        <f t="shared" si="14"/>
        <v>0.2</v>
      </c>
      <c r="AM47" s="54">
        <f t="shared" si="15"/>
        <v>300000</v>
      </c>
      <c r="AN47" s="54">
        <f t="shared" si="16"/>
        <v>1100000</v>
      </c>
      <c r="AO47" s="54">
        <f t="shared" si="17"/>
        <v>793200</v>
      </c>
      <c r="AP47" s="54">
        <f t="shared" si="18"/>
        <v>158640</v>
      </c>
      <c r="AQ47" s="54">
        <f t="shared" si="19"/>
        <v>41100</v>
      </c>
      <c r="AR47" s="54">
        <f t="shared" si="20"/>
        <v>87006</v>
      </c>
      <c r="AS47" s="54">
        <f t="shared" si="21"/>
        <v>285745</v>
      </c>
      <c r="AT47" s="54">
        <f t="shared" si="22"/>
        <v>285745</v>
      </c>
      <c r="AU47" s="35">
        <f t="shared" ca="1" si="23"/>
        <v>35</v>
      </c>
      <c r="AV47" s="35">
        <f>IF(AB47="Cadre",0,X47*donnees!#REF!*1.15)</f>
        <v>0</v>
      </c>
      <c r="AW47" s="35">
        <f>IF(AB47="Cadre",0,X47*donnees!#REF!*1.4)</f>
        <v>0</v>
      </c>
      <c r="AX47" s="35">
        <f>IF(AB47="Cadre",0,X47*donnees!#REF!*1.6)</f>
        <v>0</v>
      </c>
      <c r="AY47" s="35">
        <f>IF(AB47="Cadre",0,X47*donnees!#REF!*2)</f>
        <v>0</v>
      </c>
    </row>
    <row r="48" spans="1:51" ht="15.75" x14ac:dyDescent="0.25">
      <c r="A48" s="111">
        <v>47</v>
      </c>
      <c r="B48" s="111" t="s">
        <v>223</v>
      </c>
      <c r="C48" s="111" t="s">
        <v>224</v>
      </c>
      <c r="D48" s="111" t="s">
        <v>225</v>
      </c>
      <c r="E48" s="117">
        <v>27960</v>
      </c>
      <c r="F48" s="111" t="s">
        <v>137</v>
      </c>
      <c r="G48" s="118" t="s">
        <v>50</v>
      </c>
      <c r="H48" s="124" t="s">
        <v>47</v>
      </c>
      <c r="I48" s="113" t="s">
        <v>51</v>
      </c>
      <c r="J48" s="118">
        <v>2</v>
      </c>
      <c r="K48" s="118">
        <v>5</v>
      </c>
      <c r="L48" s="113"/>
      <c r="M48" s="123">
        <v>8</v>
      </c>
      <c r="N48" s="123"/>
      <c r="O48" s="123">
        <v>3</v>
      </c>
      <c r="P48" s="123"/>
      <c r="Q48" s="123"/>
      <c r="R48" s="123">
        <v>25000</v>
      </c>
      <c r="S48" s="123"/>
      <c r="T48" s="113"/>
      <c r="U48" s="123"/>
      <c r="V48" s="123"/>
      <c r="W48" s="54">
        <v>0</v>
      </c>
      <c r="X48" s="54">
        <f t="shared" si="0"/>
        <v>2020</v>
      </c>
      <c r="Y48" s="54">
        <f t="shared" si="1"/>
        <v>350127</v>
      </c>
      <c r="Z48" s="54">
        <f t="shared" si="2"/>
        <v>356187</v>
      </c>
      <c r="AA48" s="54">
        <f t="shared" si="3"/>
        <v>381187</v>
      </c>
      <c r="AB48" s="54" t="str">
        <f t="shared" si="4"/>
        <v>Général</v>
      </c>
      <c r="AC48" s="54">
        <f t="shared" si="5"/>
        <v>19946.472000000002</v>
      </c>
      <c r="AD48" s="54">
        <f t="shared" si="6"/>
        <v>0</v>
      </c>
      <c r="AE48" s="54">
        <f t="shared" si="7"/>
        <v>3</v>
      </c>
      <c r="AF48" s="54">
        <f t="shared" si="8"/>
        <v>2700</v>
      </c>
      <c r="AG48" s="54">
        <f t="shared" si="9"/>
        <v>4572000</v>
      </c>
      <c r="AH48" s="54">
        <f t="shared" si="10"/>
        <v>3672000</v>
      </c>
      <c r="AI48" s="54">
        <f t="shared" si="11"/>
        <v>900000</v>
      </c>
      <c r="AJ48" s="54">
        <f t="shared" si="12"/>
        <v>5</v>
      </c>
      <c r="AK48" s="54">
        <f t="shared" si="13"/>
        <v>5</v>
      </c>
      <c r="AL48" s="54">
        <f t="shared" si="14"/>
        <v>0.45</v>
      </c>
      <c r="AM48" s="54">
        <f t="shared" si="15"/>
        <v>800000</v>
      </c>
      <c r="AN48" s="54">
        <f t="shared" si="16"/>
        <v>3180000</v>
      </c>
      <c r="AO48" s="54">
        <f t="shared" si="17"/>
        <v>825600</v>
      </c>
      <c r="AP48" s="54">
        <f t="shared" si="18"/>
        <v>371520</v>
      </c>
      <c r="AQ48" s="54">
        <f t="shared" si="19"/>
        <v>2133</v>
      </c>
      <c r="AR48" s="54">
        <f t="shared" si="20"/>
        <v>24779.472000000002</v>
      </c>
      <c r="AS48" s="54">
        <f t="shared" si="21"/>
        <v>331407.52799999999</v>
      </c>
      <c r="AT48" s="54">
        <f t="shared" si="22"/>
        <v>331407.52799999999</v>
      </c>
      <c r="AU48" s="35">
        <f t="shared" ca="1" si="23"/>
        <v>43</v>
      </c>
      <c r="AV48" s="35" t="e">
        <f>IF(AB48="Cadre",0,X48*donnees!#REF!*1.15)</f>
        <v>#REF!</v>
      </c>
      <c r="AW48" s="35" t="e">
        <f>IF(AB48="Cadre",0,X48*donnees!#REF!*1.4)</f>
        <v>#REF!</v>
      </c>
      <c r="AX48" s="35" t="e">
        <f>IF(AB48="Cadre",0,X48*donnees!#REF!*1.6)</f>
        <v>#REF!</v>
      </c>
      <c r="AY48" s="35" t="e">
        <f>IF(AB48="Cadre",0,X48*donnees!#REF!*2)</f>
        <v>#REF!</v>
      </c>
    </row>
    <row r="49" spans="1:51" ht="15.75" x14ac:dyDescent="0.25">
      <c r="A49" s="11">
        <v>48</v>
      </c>
      <c r="B49" s="11" t="s">
        <v>226</v>
      </c>
      <c r="C49" s="11" t="s">
        <v>227</v>
      </c>
      <c r="D49" s="11" t="s">
        <v>225</v>
      </c>
      <c r="E49" s="114">
        <v>31257</v>
      </c>
      <c r="F49" s="11" t="s">
        <v>155</v>
      </c>
      <c r="G49" s="115" t="s">
        <v>49</v>
      </c>
      <c r="H49" s="124" t="s">
        <v>47</v>
      </c>
      <c r="I49" s="112" t="s">
        <v>51</v>
      </c>
      <c r="J49" s="115">
        <v>0</v>
      </c>
      <c r="K49" s="115">
        <v>2</v>
      </c>
      <c r="L49" s="121">
        <v>9500</v>
      </c>
      <c r="M49" s="121"/>
      <c r="N49" s="121"/>
      <c r="O49" s="121"/>
      <c r="P49" s="121"/>
      <c r="Q49" s="121">
        <v>5000</v>
      </c>
      <c r="R49" s="121"/>
      <c r="S49" s="121">
        <v>25000</v>
      </c>
      <c r="T49" s="112">
        <v>3000</v>
      </c>
      <c r="U49" s="121">
        <v>14500</v>
      </c>
      <c r="V49" s="121"/>
      <c r="W49" s="54">
        <v>0</v>
      </c>
      <c r="X49" s="54">
        <f t="shared" si="0"/>
        <v>2020</v>
      </c>
      <c r="Y49" s="54">
        <f t="shared" si="1"/>
        <v>350127</v>
      </c>
      <c r="Z49" s="54">
        <f t="shared" si="2"/>
        <v>389627</v>
      </c>
      <c r="AA49" s="54">
        <f t="shared" si="3"/>
        <v>389627</v>
      </c>
      <c r="AB49" s="54" t="str">
        <f t="shared" si="4"/>
        <v>Cadre</v>
      </c>
      <c r="AC49" s="54">
        <f t="shared" si="5"/>
        <v>20160</v>
      </c>
      <c r="AD49" s="54">
        <f t="shared" si="6"/>
        <v>9351</v>
      </c>
      <c r="AE49" s="54">
        <f t="shared" si="7"/>
        <v>1</v>
      </c>
      <c r="AF49" s="54">
        <f t="shared" si="8"/>
        <v>900</v>
      </c>
      <c r="AG49" s="54">
        <f t="shared" si="9"/>
        <v>4668000</v>
      </c>
      <c r="AH49" s="54">
        <f t="shared" si="10"/>
        <v>3768000</v>
      </c>
      <c r="AI49" s="54">
        <f t="shared" si="11"/>
        <v>900000</v>
      </c>
      <c r="AJ49" s="54">
        <f t="shared" si="12"/>
        <v>2.5</v>
      </c>
      <c r="AK49" s="54">
        <f t="shared" si="13"/>
        <v>2.5</v>
      </c>
      <c r="AL49" s="54">
        <f t="shared" si="14"/>
        <v>0.2</v>
      </c>
      <c r="AM49" s="54">
        <f t="shared" si="15"/>
        <v>300000</v>
      </c>
      <c r="AN49" s="54">
        <f t="shared" si="16"/>
        <v>1100000</v>
      </c>
      <c r="AO49" s="54">
        <f t="shared" si="17"/>
        <v>854400</v>
      </c>
      <c r="AP49" s="54">
        <f t="shared" si="18"/>
        <v>170880</v>
      </c>
      <c r="AQ49" s="54">
        <f t="shared" si="19"/>
        <v>46200</v>
      </c>
      <c r="AR49" s="54">
        <f t="shared" si="20"/>
        <v>94111</v>
      </c>
      <c r="AS49" s="54">
        <f t="shared" si="21"/>
        <v>295516</v>
      </c>
      <c r="AT49" s="54">
        <f t="shared" si="22"/>
        <v>295516</v>
      </c>
      <c r="AU49" s="35">
        <f t="shared" ca="1" si="23"/>
        <v>34</v>
      </c>
      <c r="AV49" s="35">
        <f>IF(AB49="Cadre",0,X49*donnees!#REF!*1.15)</f>
        <v>0</v>
      </c>
      <c r="AW49" s="35">
        <f>IF(AB49="Cadre",0,X49*donnees!#REF!*1.4)</f>
        <v>0</v>
      </c>
      <c r="AX49" s="35">
        <f>IF(AB49="Cadre",0,X49*donnees!#REF!*1.6)</f>
        <v>0</v>
      </c>
      <c r="AY49" s="35">
        <f>IF(AB49="Cadre",0,X49*donnees!#REF!*2)</f>
        <v>0</v>
      </c>
    </row>
    <row r="50" spans="1:51" ht="15.75" x14ac:dyDescent="0.25">
      <c r="A50" s="111">
        <v>49</v>
      </c>
      <c r="B50" s="111" t="s">
        <v>228</v>
      </c>
      <c r="C50" s="111" t="s">
        <v>229</v>
      </c>
      <c r="D50" s="111" t="s">
        <v>230</v>
      </c>
      <c r="E50" s="117">
        <v>31160</v>
      </c>
      <c r="F50" s="111" t="s">
        <v>60</v>
      </c>
      <c r="G50" s="118" t="s">
        <v>50</v>
      </c>
      <c r="H50" s="124" t="s">
        <v>47</v>
      </c>
      <c r="I50" s="113" t="s">
        <v>51</v>
      </c>
      <c r="J50" s="118">
        <v>2</v>
      </c>
      <c r="K50" s="118">
        <v>5</v>
      </c>
      <c r="L50" s="113"/>
      <c r="M50" s="123">
        <v>8</v>
      </c>
      <c r="N50" s="123"/>
      <c r="O50" s="123"/>
      <c r="P50" s="123"/>
      <c r="Q50" s="123"/>
      <c r="R50" s="123"/>
      <c r="S50" s="123"/>
      <c r="T50" s="113"/>
      <c r="U50" s="123"/>
      <c r="V50" s="123"/>
      <c r="W50" s="54">
        <v>0</v>
      </c>
      <c r="X50" s="54">
        <f t="shared" si="0"/>
        <v>2020</v>
      </c>
      <c r="Y50" s="54">
        <f t="shared" si="1"/>
        <v>350127</v>
      </c>
      <c r="Z50" s="54">
        <f t="shared" si="2"/>
        <v>352551</v>
      </c>
      <c r="AA50" s="54">
        <f t="shared" si="3"/>
        <v>352551</v>
      </c>
      <c r="AB50" s="54" t="str">
        <f t="shared" si="4"/>
        <v>Général</v>
      </c>
      <c r="AC50" s="54">
        <f t="shared" si="5"/>
        <v>19742.856</v>
      </c>
      <c r="AD50" s="54">
        <f t="shared" si="6"/>
        <v>0</v>
      </c>
      <c r="AE50" s="54">
        <f t="shared" si="7"/>
        <v>3</v>
      </c>
      <c r="AF50" s="54">
        <f t="shared" si="8"/>
        <v>2700</v>
      </c>
      <c r="AG50" s="54">
        <f t="shared" si="9"/>
        <v>4224000</v>
      </c>
      <c r="AH50" s="54">
        <f t="shared" si="10"/>
        <v>3324000</v>
      </c>
      <c r="AI50" s="54">
        <f t="shared" si="11"/>
        <v>900000</v>
      </c>
      <c r="AJ50" s="54">
        <f t="shared" si="12"/>
        <v>5</v>
      </c>
      <c r="AK50" s="54">
        <f t="shared" si="13"/>
        <v>5</v>
      </c>
      <c r="AL50" s="54">
        <f t="shared" si="14"/>
        <v>0.45</v>
      </c>
      <c r="AM50" s="54">
        <f t="shared" si="15"/>
        <v>800000</v>
      </c>
      <c r="AN50" s="54">
        <f t="shared" si="16"/>
        <v>3180000</v>
      </c>
      <c r="AO50" s="54">
        <f t="shared" si="17"/>
        <v>721200</v>
      </c>
      <c r="AP50" s="54">
        <f t="shared" si="18"/>
        <v>324540</v>
      </c>
      <c r="AQ50" s="54">
        <f t="shared" si="19"/>
        <v>-6567</v>
      </c>
      <c r="AR50" s="54">
        <f t="shared" si="20"/>
        <v>15875.856</v>
      </c>
      <c r="AS50" s="54">
        <f t="shared" si="21"/>
        <v>336675.14399999997</v>
      </c>
      <c r="AT50" s="54">
        <f t="shared" si="22"/>
        <v>336675.14399999997</v>
      </c>
      <c r="AU50" s="35">
        <f t="shared" ca="1" si="23"/>
        <v>35</v>
      </c>
      <c r="AV50" s="35" t="e">
        <f>IF(AB50="Cadre",0,X50*donnees!#REF!*1.15)</f>
        <v>#REF!</v>
      </c>
      <c r="AW50" s="35" t="e">
        <f>IF(AB50="Cadre",0,X50*donnees!#REF!*1.4)</f>
        <v>#REF!</v>
      </c>
      <c r="AX50" s="35" t="e">
        <f>IF(AB50="Cadre",0,X50*donnees!#REF!*1.6)</f>
        <v>#REF!</v>
      </c>
      <c r="AY50" s="35" t="e">
        <f>IF(AB50="Cadre",0,X50*donnees!#REF!*2)</f>
        <v>#REF!</v>
      </c>
    </row>
    <row r="51" spans="1:51" ht="15.75" x14ac:dyDescent="0.25">
      <c r="A51" s="11">
        <v>50</v>
      </c>
      <c r="B51" s="11" t="s">
        <v>231</v>
      </c>
      <c r="C51" s="11" t="s">
        <v>232</v>
      </c>
      <c r="D51" s="11" t="s">
        <v>233</v>
      </c>
      <c r="E51" s="114">
        <v>29941</v>
      </c>
      <c r="F51" s="11" t="s">
        <v>134</v>
      </c>
      <c r="G51" s="115" t="s">
        <v>50</v>
      </c>
      <c r="H51" s="124" t="s">
        <v>47</v>
      </c>
      <c r="I51" s="112" t="s">
        <v>65</v>
      </c>
      <c r="J51" s="115">
        <v>0</v>
      </c>
      <c r="K51" s="115">
        <v>0</v>
      </c>
      <c r="L51" s="112"/>
      <c r="M51" s="121">
        <v>8</v>
      </c>
      <c r="N51" s="121">
        <v>2</v>
      </c>
      <c r="O51" s="121">
        <v>3</v>
      </c>
      <c r="P51" s="121"/>
      <c r="Q51" s="121">
        <v>7000</v>
      </c>
      <c r="R51" s="121"/>
      <c r="S51" s="121"/>
      <c r="T51" s="112">
        <v>3000</v>
      </c>
      <c r="U51" s="121">
        <v>13500</v>
      </c>
      <c r="V51" s="121"/>
      <c r="W51" s="54">
        <v>0</v>
      </c>
      <c r="X51" s="54">
        <f t="shared" si="0"/>
        <v>2020</v>
      </c>
      <c r="Y51" s="54">
        <f t="shared" si="1"/>
        <v>350127</v>
      </c>
      <c r="Z51" s="54">
        <f t="shared" si="2"/>
        <v>364803</v>
      </c>
      <c r="AA51" s="54">
        <f t="shared" si="3"/>
        <v>364803</v>
      </c>
      <c r="AB51" s="54" t="str">
        <f t="shared" si="4"/>
        <v>Cadre</v>
      </c>
      <c r="AC51" s="54">
        <f t="shared" si="5"/>
        <v>20160</v>
      </c>
      <c r="AD51" s="54">
        <f t="shared" si="6"/>
        <v>8755</v>
      </c>
      <c r="AE51" s="54" t="b">
        <f t="shared" si="7"/>
        <v>0</v>
      </c>
      <c r="AF51" s="54">
        <f t="shared" si="8"/>
        <v>0</v>
      </c>
      <c r="AG51" s="54">
        <f t="shared" si="9"/>
        <v>4368000</v>
      </c>
      <c r="AH51" s="54">
        <f t="shared" si="10"/>
        <v>3468000</v>
      </c>
      <c r="AI51" s="54">
        <f t="shared" si="11"/>
        <v>900000</v>
      </c>
      <c r="AJ51" s="54" t="b">
        <f t="shared" si="12"/>
        <v>0</v>
      </c>
      <c r="AK51" s="54">
        <f t="shared" si="13"/>
        <v>5</v>
      </c>
      <c r="AL51" s="54">
        <f t="shared" si="14"/>
        <v>0.45</v>
      </c>
      <c r="AM51" s="54">
        <f t="shared" si="15"/>
        <v>800000</v>
      </c>
      <c r="AN51" s="54">
        <f t="shared" si="16"/>
        <v>3180000</v>
      </c>
      <c r="AO51" s="54">
        <f t="shared" si="17"/>
        <v>764400</v>
      </c>
      <c r="AP51" s="54">
        <f t="shared" si="18"/>
        <v>343980</v>
      </c>
      <c r="AQ51" s="54">
        <f t="shared" si="19"/>
        <v>-2967</v>
      </c>
      <c r="AR51" s="54">
        <f t="shared" si="20"/>
        <v>42448</v>
      </c>
      <c r="AS51" s="54">
        <f t="shared" si="21"/>
        <v>322355</v>
      </c>
      <c r="AT51" s="54">
        <f t="shared" si="22"/>
        <v>322355</v>
      </c>
      <c r="AU51" s="35">
        <f t="shared" ca="1" si="23"/>
        <v>38</v>
      </c>
      <c r="AV51" s="35">
        <f>IF(AB51="Cadre",0,X51*donnees!#REF!*1.15)</f>
        <v>0</v>
      </c>
      <c r="AW51" s="35">
        <f>IF(AB51="Cadre",0,X51*donnees!#REF!*1.4)</f>
        <v>0</v>
      </c>
      <c r="AX51" s="35">
        <f>IF(AB51="Cadre",0,X51*donnees!#REF!*1.6)</f>
        <v>0</v>
      </c>
      <c r="AY51" s="35">
        <f>IF(AB51="Cadre",0,X51*donnees!#REF!*2)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Q3"/>
  <sheetViews>
    <sheetView showGridLines="0" tabSelected="1" topLeftCell="A2" zoomScaleNormal="100" workbookViewId="0">
      <selection activeCell="B4" sqref="B4"/>
    </sheetView>
  </sheetViews>
  <sheetFormatPr baseColWidth="10" defaultRowHeight="15" x14ac:dyDescent="0.25"/>
  <cols>
    <col min="2" max="3" width="11.42578125" customWidth="1"/>
  </cols>
  <sheetData>
    <row r="1" spans="1:17" x14ac:dyDescent="0.25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</row>
    <row r="2" spans="1:17" x14ac:dyDescent="0.25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</row>
    <row r="3" spans="1:17" x14ac:dyDescent="0.25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52F69-C004-45CD-B54B-68056B6775DA}">
  <sheetPr codeName="Feuil10"/>
  <dimension ref="A2:D6"/>
  <sheetViews>
    <sheetView workbookViewId="0">
      <selection activeCell="B4" sqref="B4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12.5703125" bestFit="1" customWidth="1"/>
  </cols>
  <sheetData>
    <row r="2" spans="1:4" x14ac:dyDescent="0.25">
      <c r="C2" s="35"/>
      <c r="D2" s="35"/>
    </row>
    <row r="3" spans="1:4" x14ac:dyDescent="0.25">
      <c r="A3" s="53" t="s">
        <v>234</v>
      </c>
      <c r="B3" t="s">
        <v>236</v>
      </c>
      <c r="C3" s="35"/>
      <c r="D3" s="35"/>
    </row>
    <row r="4" spans="1:4" x14ac:dyDescent="0.25">
      <c r="A4" s="54" t="s">
        <v>49</v>
      </c>
      <c r="B4" s="55">
        <v>11</v>
      </c>
    </row>
    <row r="5" spans="1:4" x14ac:dyDescent="0.25">
      <c r="A5" s="54" t="s">
        <v>50</v>
      </c>
      <c r="B5" s="55">
        <v>39</v>
      </c>
    </row>
    <row r="6" spans="1:4" x14ac:dyDescent="0.25">
      <c r="A6" s="54" t="s">
        <v>235</v>
      </c>
      <c r="B6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E1678-800C-4DFE-9614-5B8AE0D1C83B}">
  <sheetPr codeName="Feuil12"/>
  <dimension ref="A3:B7"/>
  <sheetViews>
    <sheetView workbookViewId="0">
      <selection activeCell="A3" sqref="A3"/>
    </sheetView>
  </sheetViews>
  <sheetFormatPr baseColWidth="10" defaultRowHeight="15" x14ac:dyDescent="0.25"/>
  <cols>
    <col min="1" max="1" width="12.5703125" bestFit="1" customWidth="1"/>
    <col min="2" max="2" width="20.140625" bestFit="1" customWidth="1"/>
    <col min="3" max="3" width="3" bestFit="1" customWidth="1"/>
    <col min="4" max="4" width="12.5703125" bestFit="1" customWidth="1"/>
    <col min="5" max="7" width="4.7109375" bestFit="1" customWidth="1"/>
    <col min="8" max="8" width="7.7109375" bestFit="1" customWidth="1"/>
    <col min="9" max="9" width="12.5703125" bestFit="1" customWidth="1"/>
  </cols>
  <sheetData>
    <row r="3" spans="1:2" x14ac:dyDescent="0.25">
      <c r="B3" t="s">
        <v>237</v>
      </c>
    </row>
    <row r="4" spans="1:2" x14ac:dyDescent="0.25">
      <c r="A4" s="54" t="s">
        <v>46</v>
      </c>
      <c r="B4" s="55">
        <v>11</v>
      </c>
    </row>
    <row r="5" spans="1:2" x14ac:dyDescent="0.25">
      <c r="A5" s="54" t="s">
        <v>47</v>
      </c>
      <c r="B5" s="55">
        <v>22</v>
      </c>
    </row>
    <row r="6" spans="1:2" x14ac:dyDescent="0.25">
      <c r="A6" s="54" t="s">
        <v>48</v>
      </c>
      <c r="B6" s="55">
        <v>17</v>
      </c>
    </row>
    <row r="7" spans="1:2" x14ac:dyDescent="0.25">
      <c r="A7" s="54" t="s">
        <v>235</v>
      </c>
      <c r="B7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3C7A-CF0C-4A0C-9DC0-EACCE83D6779}">
  <sheetPr codeName="Feuil13"/>
  <dimension ref="A3:C17"/>
  <sheetViews>
    <sheetView workbookViewId="0">
      <selection activeCell="B13" sqref="B13"/>
    </sheetView>
  </sheetViews>
  <sheetFormatPr baseColWidth="10" defaultRowHeight="15" x14ac:dyDescent="0.25"/>
  <cols>
    <col min="1" max="2" width="21" bestFit="1" customWidth="1"/>
    <col min="3" max="3" width="16.42578125" bestFit="1" customWidth="1"/>
    <col min="4" max="4" width="3.5703125" bestFit="1" customWidth="1"/>
    <col min="5" max="5" width="6.28515625" bestFit="1" customWidth="1"/>
    <col min="6" max="6" width="12.5703125" bestFit="1" customWidth="1"/>
  </cols>
  <sheetData>
    <row r="3" spans="1:3" x14ac:dyDescent="0.25">
      <c r="A3" s="53" t="s">
        <v>234</v>
      </c>
      <c r="B3" t="s">
        <v>238</v>
      </c>
    </row>
    <row r="4" spans="1:3" x14ac:dyDescent="0.25">
      <c r="A4" s="54" t="s">
        <v>287</v>
      </c>
      <c r="B4" s="55">
        <v>50</v>
      </c>
    </row>
    <row r="5" spans="1:3" x14ac:dyDescent="0.25">
      <c r="A5" s="54" t="s">
        <v>235</v>
      </c>
      <c r="B5" s="55">
        <v>50</v>
      </c>
    </row>
    <row r="13" spans="1:3" x14ac:dyDescent="0.25">
      <c r="B13" s="53" t="s">
        <v>234</v>
      </c>
      <c r="C13" t="s">
        <v>238</v>
      </c>
    </row>
    <row r="14" spans="1:3" x14ac:dyDescent="0.25">
      <c r="B14" s="54" t="s">
        <v>2</v>
      </c>
      <c r="C14" s="55">
        <v>22</v>
      </c>
    </row>
    <row r="15" spans="1:3" x14ac:dyDescent="0.25">
      <c r="B15" s="54" t="s">
        <v>1</v>
      </c>
      <c r="C15" s="55">
        <v>28</v>
      </c>
    </row>
    <row r="16" spans="1:3" x14ac:dyDescent="0.25">
      <c r="B16" s="54" t="s">
        <v>288</v>
      </c>
      <c r="C16" s="55"/>
    </row>
    <row r="17" spans="2:3" x14ac:dyDescent="0.25">
      <c r="B17" s="54" t="s">
        <v>235</v>
      </c>
      <c r="C17" s="55">
        <v>50</v>
      </c>
    </row>
  </sheetData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75135-0F4B-4C39-834A-279D886E4AD3}">
  <sheetPr codeName="Feuil14"/>
  <dimension ref="A3:B6"/>
  <sheetViews>
    <sheetView workbookViewId="0">
      <selection activeCell="A3" sqref="A3"/>
    </sheetView>
  </sheetViews>
  <sheetFormatPr baseColWidth="10" defaultRowHeight="15" x14ac:dyDescent="0.25"/>
  <cols>
    <col min="1" max="1" width="21" bestFit="1" customWidth="1"/>
    <col min="2" max="2" width="16.28515625" bestFit="1" customWidth="1"/>
    <col min="3" max="3" width="3" bestFit="1" customWidth="1"/>
    <col min="4" max="4" width="12.5703125" bestFit="1" customWidth="1"/>
    <col min="5" max="5" width="24.85546875" bestFit="1" customWidth="1"/>
    <col min="6" max="6" width="21.28515625" bestFit="1" customWidth="1"/>
  </cols>
  <sheetData>
    <row r="3" spans="1:2" x14ac:dyDescent="0.25">
      <c r="A3" s="53" t="s">
        <v>234</v>
      </c>
      <c r="B3" t="s">
        <v>236</v>
      </c>
    </row>
    <row r="4" spans="1:2" x14ac:dyDescent="0.25">
      <c r="A4" s="54" t="s">
        <v>65</v>
      </c>
      <c r="B4" s="57">
        <v>20</v>
      </c>
    </row>
    <row r="5" spans="1:2" x14ac:dyDescent="0.25">
      <c r="A5" s="54" t="s">
        <v>51</v>
      </c>
      <c r="B5" s="57">
        <v>30</v>
      </c>
    </row>
    <row r="6" spans="1:2" x14ac:dyDescent="0.25">
      <c r="A6" s="54" t="s">
        <v>235</v>
      </c>
      <c r="B6" s="57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30558-DE57-44BA-A2FC-2BC3EA956C0E}">
  <sheetPr codeName="Feuil15"/>
  <dimension ref="A3:B16"/>
  <sheetViews>
    <sheetView workbookViewId="0">
      <selection activeCell="I21" sqref="I21"/>
    </sheetView>
  </sheetViews>
  <sheetFormatPr baseColWidth="10" defaultRowHeight="15" x14ac:dyDescent="0.25"/>
  <cols>
    <col min="1" max="1" width="21" bestFit="1" customWidth="1"/>
    <col min="2" max="2" width="14.85546875" bestFit="1" customWidth="1"/>
    <col min="3" max="3" width="3" bestFit="1" customWidth="1"/>
    <col min="4" max="4" width="12.5703125" bestFit="1" customWidth="1"/>
  </cols>
  <sheetData>
    <row r="3" spans="1:2" x14ac:dyDescent="0.25">
      <c r="A3" s="53" t="s">
        <v>234</v>
      </c>
      <c r="B3" t="s">
        <v>239</v>
      </c>
    </row>
    <row r="4" spans="1:2" x14ac:dyDescent="0.25">
      <c r="A4" s="54">
        <v>34</v>
      </c>
      <c r="B4" s="55">
        <v>4</v>
      </c>
    </row>
    <row r="5" spans="1:2" x14ac:dyDescent="0.25">
      <c r="A5" s="54">
        <v>35</v>
      </c>
      <c r="B5" s="55">
        <v>5</v>
      </c>
    </row>
    <row r="6" spans="1:2" x14ac:dyDescent="0.25">
      <c r="A6" s="54">
        <v>36</v>
      </c>
      <c r="B6" s="55">
        <v>3</v>
      </c>
    </row>
    <row r="7" spans="1:2" x14ac:dyDescent="0.25">
      <c r="A7" s="54">
        <v>37</v>
      </c>
      <c r="B7" s="55">
        <v>5</v>
      </c>
    </row>
    <row r="8" spans="1:2" x14ac:dyDescent="0.25">
      <c r="A8" s="54">
        <v>38</v>
      </c>
      <c r="B8" s="55">
        <v>4</v>
      </c>
    </row>
    <row r="9" spans="1:2" x14ac:dyDescent="0.25">
      <c r="A9" s="54">
        <v>39</v>
      </c>
      <c r="B9" s="55">
        <v>2</v>
      </c>
    </row>
    <row r="10" spans="1:2" x14ac:dyDescent="0.25">
      <c r="A10" s="54">
        <v>40</v>
      </c>
      <c r="B10" s="55">
        <v>6</v>
      </c>
    </row>
    <row r="11" spans="1:2" x14ac:dyDescent="0.25">
      <c r="A11" s="54">
        <v>41</v>
      </c>
      <c r="B11" s="55">
        <v>2</v>
      </c>
    </row>
    <row r="12" spans="1:2" x14ac:dyDescent="0.25">
      <c r="A12" s="54">
        <v>42</v>
      </c>
      <c r="B12" s="55">
        <v>8</v>
      </c>
    </row>
    <row r="13" spans="1:2" x14ac:dyDescent="0.25">
      <c r="A13" s="54">
        <v>43</v>
      </c>
      <c r="B13" s="55">
        <v>4</v>
      </c>
    </row>
    <row r="14" spans="1:2" x14ac:dyDescent="0.25">
      <c r="A14" s="54">
        <v>44</v>
      </c>
      <c r="B14" s="55">
        <v>5</v>
      </c>
    </row>
    <row r="15" spans="1:2" x14ac:dyDescent="0.25">
      <c r="A15" s="54">
        <v>45</v>
      </c>
      <c r="B15" s="55">
        <v>2</v>
      </c>
    </row>
    <row r="16" spans="1:2" x14ac:dyDescent="0.25">
      <c r="A16" s="54" t="s">
        <v>235</v>
      </c>
      <c r="B16" s="55">
        <v>50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F51F9-FF9D-41DB-B649-296D151B525F}">
  <sheetPr codeName="Feuil8"/>
  <dimension ref="A1:AA51"/>
  <sheetViews>
    <sheetView topLeftCell="K46" zoomScale="85" zoomScaleNormal="85" workbookViewId="0">
      <selection activeCell="A5" sqref="A5:W51"/>
    </sheetView>
  </sheetViews>
  <sheetFormatPr baseColWidth="10" defaultRowHeight="15" x14ac:dyDescent="0.25"/>
  <cols>
    <col min="2" max="2" width="20.140625" customWidth="1"/>
    <col min="5" max="5" width="12.42578125" customWidth="1"/>
    <col min="6" max="6" width="11.85546875" customWidth="1"/>
    <col min="8" max="8" width="12.42578125" customWidth="1"/>
    <col min="9" max="9" width="12.28515625" customWidth="1"/>
    <col min="10" max="10" width="14.140625" customWidth="1"/>
    <col min="11" max="11" width="13.5703125" customWidth="1"/>
    <col min="12" max="12" width="12.7109375" customWidth="1"/>
    <col min="13" max="15" width="14.140625" customWidth="1"/>
    <col min="16" max="16" width="15.28515625" customWidth="1"/>
    <col min="18" max="18" width="12.42578125" customWidth="1"/>
    <col min="19" max="19" width="13.140625" customWidth="1"/>
    <col min="21" max="21" width="13.85546875" customWidth="1"/>
    <col min="22" max="22" width="14" customWidth="1"/>
    <col min="23" max="23" width="14.140625" customWidth="1"/>
    <col min="25" max="25" width="17.7109375" customWidth="1"/>
  </cols>
  <sheetData>
    <row r="1" spans="1:27" ht="15.75" x14ac:dyDescent="0.25">
      <c r="A1" s="52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31</v>
      </c>
      <c r="H1" s="37" t="s">
        <v>32</v>
      </c>
      <c r="I1" s="37" t="s">
        <v>33</v>
      </c>
      <c r="J1" s="37" t="s">
        <v>34</v>
      </c>
      <c r="K1" s="37" t="s">
        <v>35</v>
      </c>
      <c r="L1" s="37" t="s">
        <v>36</v>
      </c>
      <c r="M1" s="37" t="s">
        <v>37</v>
      </c>
      <c r="N1" s="37" t="s">
        <v>38</v>
      </c>
      <c r="O1" s="37" t="s">
        <v>39</v>
      </c>
      <c r="P1" s="37" t="s">
        <v>40</v>
      </c>
      <c r="Q1" s="38" t="s">
        <v>41</v>
      </c>
      <c r="R1" s="38" t="s">
        <v>42</v>
      </c>
      <c r="S1" s="38" t="s">
        <v>43</v>
      </c>
      <c r="T1" s="38" t="s">
        <v>3</v>
      </c>
      <c r="U1" s="38" t="s">
        <v>44</v>
      </c>
      <c r="V1" s="38" t="s">
        <v>6</v>
      </c>
      <c r="W1" s="50" t="s">
        <v>53</v>
      </c>
      <c r="X1" s="50" t="s">
        <v>54</v>
      </c>
      <c r="Y1" s="50" t="s">
        <v>55</v>
      </c>
      <c r="Z1" s="50" t="s">
        <v>0</v>
      </c>
      <c r="AA1" s="50" t="s">
        <v>56</v>
      </c>
    </row>
    <row r="2" spans="1:27" ht="19.5" x14ac:dyDescent="0.3">
      <c r="A2" s="34">
        <v>1</v>
      </c>
      <c r="B2" s="39" t="s">
        <v>57</v>
      </c>
      <c r="C2" s="4" t="s">
        <v>58</v>
      </c>
      <c r="D2" s="4" t="s">
        <v>59</v>
      </c>
      <c r="E2" s="40">
        <v>30568</v>
      </c>
      <c r="F2" s="39" t="s">
        <v>60</v>
      </c>
      <c r="G2" s="41" t="s">
        <v>50</v>
      </c>
      <c r="H2" s="42" t="s">
        <v>47</v>
      </c>
      <c r="I2" s="39" t="s">
        <v>51</v>
      </c>
      <c r="J2" s="41">
        <v>1</v>
      </c>
      <c r="K2" s="41">
        <v>3</v>
      </c>
      <c r="L2" s="39"/>
      <c r="M2" s="39"/>
      <c r="N2" s="39"/>
      <c r="O2" s="39"/>
      <c r="P2" s="41">
        <v>4</v>
      </c>
      <c r="Q2" s="41"/>
      <c r="R2" s="41"/>
      <c r="S2" s="36">
        <v>17500</v>
      </c>
      <c r="T2" s="39">
        <v>4500</v>
      </c>
      <c r="U2" s="41">
        <v>25000</v>
      </c>
      <c r="V2" s="41"/>
      <c r="W2" s="36"/>
      <c r="X2" s="51">
        <v>36</v>
      </c>
      <c r="Y2" s="36">
        <f>Salaire_Base(Tableau2[[#This Row],[Catégorie]])</f>
        <v>350126.60000000003</v>
      </c>
      <c r="Z2" s="36">
        <f>Y2+M2+N2+O2+P2+Q2+S2+L2</f>
        <v>367630.60000000003</v>
      </c>
      <c r="AA2" s="36" t="str">
        <f>IF(Z2&lt;360000,"RG","RC")</f>
        <v>RC</v>
      </c>
    </row>
    <row r="3" spans="1:27" ht="19.5" x14ac:dyDescent="0.3">
      <c r="A3" s="12">
        <v>2</v>
      </c>
      <c r="B3" s="39" t="s">
        <v>61</v>
      </c>
      <c r="C3" s="39" t="s">
        <v>62</v>
      </c>
      <c r="D3" s="39" t="s">
        <v>63</v>
      </c>
      <c r="E3" s="40">
        <v>27693</v>
      </c>
      <c r="F3" s="39" t="s">
        <v>64</v>
      </c>
      <c r="G3" s="41" t="s">
        <v>50</v>
      </c>
      <c r="H3" s="42" t="s">
        <v>47</v>
      </c>
      <c r="I3" s="39" t="s">
        <v>65</v>
      </c>
      <c r="J3" s="41">
        <v>0</v>
      </c>
      <c r="K3" s="41">
        <v>0</v>
      </c>
      <c r="L3" s="39"/>
      <c r="M3" s="41">
        <v>8</v>
      </c>
      <c r="N3" s="41">
        <v>4</v>
      </c>
      <c r="O3" s="41"/>
      <c r="P3" s="41">
        <v>3</v>
      </c>
      <c r="Q3" s="41">
        <v>15000</v>
      </c>
      <c r="R3" s="41"/>
      <c r="S3" s="41">
        <v>12500</v>
      </c>
      <c r="T3" s="36"/>
      <c r="U3" s="41"/>
      <c r="V3" s="41"/>
      <c r="W3" s="36"/>
      <c r="X3" s="51">
        <v>44</v>
      </c>
      <c r="Y3" s="36">
        <f>Salaire_Base(Tableau2[[#This Row],[Catégorie]])</f>
        <v>350126.60000000003</v>
      </c>
      <c r="Z3" s="36">
        <f t="shared" ref="Z3:Z51" si="0">Y3+M3+N3+O3+P3+Q3+S3+L3</f>
        <v>377641.60000000003</v>
      </c>
      <c r="AA3" s="36" t="str">
        <f t="shared" ref="AA3:AA51" si="1">IF(Z3&lt;360000,"RG","RC")</f>
        <v>RC</v>
      </c>
    </row>
    <row r="4" spans="1:27" ht="19.5" x14ac:dyDescent="0.3">
      <c r="A4" s="12">
        <v>3</v>
      </c>
      <c r="B4" s="39" t="s">
        <v>66</v>
      </c>
      <c r="C4" s="39" t="s">
        <v>67</v>
      </c>
      <c r="D4" s="39" t="s">
        <v>68</v>
      </c>
      <c r="E4" s="40">
        <v>30241</v>
      </c>
      <c r="F4" s="39" t="s">
        <v>69</v>
      </c>
      <c r="G4" s="41" t="s">
        <v>50</v>
      </c>
      <c r="H4" s="42" t="s">
        <v>47</v>
      </c>
      <c r="I4" s="39" t="s">
        <v>51</v>
      </c>
      <c r="J4" s="41">
        <v>2</v>
      </c>
      <c r="K4" s="41">
        <v>6</v>
      </c>
      <c r="L4" s="39"/>
      <c r="M4" s="41"/>
      <c r="N4" s="41"/>
      <c r="O4" s="41">
        <v>6</v>
      </c>
      <c r="P4" s="41">
        <v>2</v>
      </c>
      <c r="Q4" s="41"/>
      <c r="R4" s="41"/>
      <c r="S4" s="41">
        <v>20000</v>
      </c>
      <c r="T4" s="39">
        <v>5000</v>
      </c>
      <c r="U4" s="41"/>
      <c r="V4" s="41"/>
      <c r="W4" s="36"/>
      <c r="X4" s="51">
        <v>37</v>
      </c>
      <c r="Y4" s="36">
        <f>Salaire_Base(Tableau2[[#This Row],[Catégorie]])</f>
        <v>350126.60000000003</v>
      </c>
      <c r="Z4" s="36">
        <f t="shared" si="0"/>
        <v>370134.60000000003</v>
      </c>
      <c r="AA4" s="36" t="str">
        <f t="shared" si="1"/>
        <v>RC</v>
      </c>
    </row>
    <row r="5" spans="1:27" ht="19.5" x14ac:dyDescent="0.3">
      <c r="A5" s="12">
        <v>4</v>
      </c>
      <c r="B5" s="39" t="s">
        <v>70</v>
      </c>
      <c r="C5" s="39" t="s">
        <v>71</v>
      </c>
      <c r="D5" s="39" t="s">
        <v>72</v>
      </c>
      <c r="E5" s="40">
        <v>29273</v>
      </c>
      <c r="F5" s="39" t="s">
        <v>73</v>
      </c>
      <c r="G5" s="41" t="s">
        <v>50</v>
      </c>
      <c r="H5" s="43" t="s">
        <v>48</v>
      </c>
      <c r="I5" s="39" t="s">
        <v>51</v>
      </c>
      <c r="J5" s="41">
        <v>1</v>
      </c>
      <c r="K5" s="41">
        <v>1</v>
      </c>
      <c r="L5" s="39"/>
      <c r="M5" s="41">
        <v>8</v>
      </c>
      <c r="N5" s="41">
        <v>4</v>
      </c>
      <c r="O5" s="41"/>
      <c r="P5" s="41"/>
      <c r="Q5" s="41">
        <v>10000</v>
      </c>
      <c r="R5" s="41"/>
      <c r="S5" s="41"/>
      <c r="T5" s="39"/>
      <c r="U5" s="41"/>
      <c r="V5" s="41"/>
      <c r="W5" s="36"/>
      <c r="X5" s="51">
        <v>40</v>
      </c>
      <c r="Y5" s="36">
        <f>Salaire_Base(Tableau2[[#This Row],[Catégorie]])</f>
        <v>240062.05000000002</v>
      </c>
      <c r="Z5" s="36">
        <f t="shared" si="0"/>
        <v>250074.05000000002</v>
      </c>
      <c r="AA5" s="36" t="str">
        <f t="shared" si="1"/>
        <v>RG</v>
      </c>
    </row>
    <row r="6" spans="1:27" ht="19.5" x14ac:dyDescent="0.3">
      <c r="A6" s="12">
        <v>5</v>
      </c>
      <c r="B6" s="39" t="s">
        <v>74</v>
      </c>
      <c r="C6" s="39" t="s">
        <v>75</v>
      </c>
      <c r="D6" s="39" t="s">
        <v>76</v>
      </c>
      <c r="E6" s="40">
        <v>30423</v>
      </c>
      <c r="F6" s="39" t="s">
        <v>77</v>
      </c>
      <c r="G6" s="41" t="s">
        <v>50</v>
      </c>
      <c r="H6" s="44" t="s">
        <v>48</v>
      </c>
      <c r="I6" s="39" t="s">
        <v>65</v>
      </c>
      <c r="J6" s="41">
        <v>0</v>
      </c>
      <c r="K6" s="41">
        <v>1</v>
      </c>
      <c r="L6" s="41">
        <v>15000</v>
      </c>
      <c r="M6" s="41">
        <v>8</v>
      </c>
      <c r="N6" s="41">
        <v>4</v>
      </c>
      <c r="O6" s="41">
        <v>4</v>
      </c>
      <c r="P6" s="41">
        <v>2</v>
      </c>
      <c r="Q6" s="41"/>
      <c r="R6" s="41">
        <v>35000</v>
      </c>
      <c r="S6" s="41"/>
      <c r="T6" s="39">
        <v>3500</v>
      </c>
      <c r="U6" s="41">
        <v>30000</v>
      </c>
      <c r="V6" s="41">
        <v>20000</v>
      </c>
      <c r="W6" s="36"/>
      <c r="X6" s="51">
        <v>37</v>
      </c>
      <c r="Y6" s="36">
        <f>Salaire_Base(Tableau2[[#This Row],[Catégorie]])</f>
        <v>240062.05000000002</v>
      </c>
      <c r="Z6" s="36">
        <f t="shared" si="0"/>
        <v>255080.05000000002</v>
      </c>
      <c r="AA6" s="36" t="str">
        <f t="shared" si="1"/>
        <v>RG</v>
      </c>
    </row>
    <row r="7" spans="1:27" ht="19.5" x14ac:dyDescent="0.3">
      <c r="A7" s="56">
        <v>6</v>
      </c>
      <c r="B7" s="39" t="s">
        <v>78</v>
      </c>
      <c r="C7" s="39" t="s">
        <v>79</v>
      </c>
      <c r="D7" s="39" t="s">
        <v>80</v>
      </c>
      <c r="E7" s="40">
        <v>29138</v>
      </c>
      <c r="F7" s="39" t="s">
        <v>81</v>
      </c>
      <c r="G7" s="41" t="s">
        <v>50</v>
      </c>
      <c r="H7" s="45" t="s">
        <v>48</v>
      </c>
      <c r="I7" s="46" t="s">
        <v>65</v>
      </c>
      <c r="J7" s="41">
        <v>0</v>
      </c>
      <c r="K7" s="41">
        <v>0</v>
      </c>
      <c r="L7" s="46"/>
      <c r="M7" s="47"/>
      <c r="N7" s="47"/>
      <c r="O7" s="47"/>
      <c r="P7" s="47"/>
      <c r="Q7" s="47"/>
      <c r="R7" s="47"/>
      <c r="S7" s="47"/>
      <c r="T7" s="46">
        <v>2500</v>
      </c>
      <c r="U7" s="47"/>
      <c r="V7" s="47"/>
      <c r="W7" s="35"/>
      <c r="X7" s="51">
        <v>40</v>
      </c>
      <c r="Y7" s="36">
        <f>Salaire_Base(Tableau2[[#This Row],[Catégorie]])</f>
        <v>240062.05000000002</v>
      </c>
      <c r="Z7" s="36">
        <f t="shared" si="0"/>
        <v>240062.05000000002</v>
      </c>
      <c r="AA7" s="36" t="str">
        <f t="shared" si="1"/>
        <v>RG</v>
      </c>
    </row>
    <row r="8" spans="1:27" ht="19.5" x14ac:dyDescent="0.3">
      <c r="A8" s="56">
        <v>7</v>
      </c>
      <c r="B8" s="39" t="s">
        <v>82</v>
      </c>
      <c r="C8" s="39" t="s">
        <v>83</v>
      </c>
      <c r="D8" s="39" t="s">
        <v>84</v>
      </c>
      <c r="E8" s="40">
        <v>29982</v>
      </c>
      <c r="F8" s="39" t="s">
        <v>85</v>
      </c>
      <c r="G8" s="41" t="s">
        <v>49</v>
      </c>
      <c r="H8" s="48" t="s">
        <v>46</v>
      </c>
      <c r="I8" s="46" t="s">
        <v>51</v>
      </c>
      <c r="J8" s="41">
        <v>0</v>
      </c>
      <c r="K8" s="41">
        <v>4</v>
      </c>
      <c r="L8" s="46"/>
      <c r="M8" s="47"/>
      <c r="N8" s="47"/>
      <c r="O8" s="47"/>
      <c r="P8" s="47"/>
      <c r="Q8" s="47">
        <v>10000</v>
      </c>
      <c r="R8" s="47">
        <v>60000</v>
      </c>
      <c r="S8" s="47"/>
      <c r="T8" s="46"/>
      <c r="U8" s="47"/>
      <c r="V8" s="47"/>
      <c r="W8" s="35"/>
      <c r="X8" s="51">
        <v>38</v>
      </c>
      <c r="Y8" s="36">
        <f>Salaire_Base(Tableau2[[#This Row],[Catégorie]])</f>
        <v>469897.63000000006</v>
      </c>
      <c r="Z8" s="36">
        <f t="shared" si="0"/>
        <v>479897.63000000006</v>
      </c>
      <c r="AA8" s="36" t="str">
        <f t="shared" si="1"/>
        <v>RC</v>
      </c>
    </row>
    <row r="9" spans="1:27" ht="19.5" x14ac:dyDescent="0.3">
      <c r="A9" s="12">
        <v>8</v>
      </c>
      <c r="B9" s="39" t="s">
        <v>86</v>
      </c>
      <c r="C9" s="39" t="s">
        <v>87</v>
      </c>
      <c r="D9" s="39" t="s">
        <v>88</v>
      </c>
      <c r="E9" s="40">
        <v>27684</v>
      </c>
      <c r="F9" s="39" t="s">
        <v>60</v>
      </c>
      <c r="G9" s="41" t="s">
        <v>49</v>
      </c>
      <c r="H9" s="48" t="s">
        <v>46</v>
      </c>
      <c r="I9" s="46" t="s">
        <v>65</v>
      </c>
      <c r="J9" s="41">
        <v>3</v>
      </c>
      <c r="K9" s="41">
        <v>0</v>
      </c>
      <c r="L9" s="46"/>
      <c r="M9" s="47"/>
      <c r="N9" s="47"/>
      <c r="O9" s="47"/>
      <c r="P9" s="47"/>
      <c r="Q9" s="47"/>
      <c r="R9" s="47"/>
      <c r="S9" s="47"/>
      <c r="T9" s="46">
        <v>3000</v>
      </c>
      <c r="U9" s="47"/>
      <c r="V9" s="47"/>
      <c r="W9" s="35"/>
      <c r="X9" s="51">
        <v>44</v>
      </c>
      <c r="Y9" s="36">
        <f>Salaire_Base(Tableau2[[#This Row],[Catégorie]])</f>
        <v>469897.63000000006</v>
      </c>
      <c r="Z9" s="36">
        <f t="shared" si="0"/>
        <v>469897.63000000006</v>
      </c>
      <c r="AA9" s="36" t="str">
        <f t="shared" si="1"/>
        <v>RC</v>
      </c>
    </row>
    <row r="10" spans="1:27" ht="19.5" x14ac:dyDescent="0.3">
      <c r="A10" s="12">
        <v>9</v>
      </c>
      <c r="B10" s="39" t="s">
        <v>89</v>
      </c>
      <c r="C10" s="39" t="s">
        <v>90</v>
      </c>
      <c r="D10" s="39" t="s">
        <v>88</v>
      </c>
      <c r="E10" s="40">
        <v>29466</v>
      </c>
      <c r="F10" s="39" t="s">
        <v>85</v>
      </c>
      <c r="G10" s="41" t="s">
        <v>50</v>
      </c>
      <c r="H10" s="48" t="s">
        <v>46</v>
      </c>
      <c r="I10" s="46" t="s">
        <v>51</v>
      </c>
      <c r="J10" s="41">
        <v>0</v>
      </c>
      <c r="K10" s="41">
        <v>8</v>
      </c>
      <c r="L10" s="46"/>
      <c r="M10" s="47"/>
      <c r="N10" s="47"/>
      <c r="O10" s="47"/>
      <c r="P10" s="47"/>
      <c r="Q10" s="47"/>
      <c r="R10" s="47">
        <v>37500</v>
      </c>
      <c r="S10" s="47"/>
      <c r="T10" s="46">
        <v>3000</v>
      </c>
      <c r="U10" s="47">
        <v>55000</v>
      </c>
      <c r="V10" s="47"/>
      <c r="W10" s="35"/>
      <c r="X10" s="51">
        <v>39</v>
      </c>
      <c r="Y10" s="36">
        <f>Salaire_Base(Tableau2[[#This Row],[Catégorie]])</f>
        <v>469897.63000000006</v>
      </c>
      <c r="Z10" s="36">
        <f t="shared" si="0"/>
        <v>469897.63000000006</v>
      </c>
      <c r="AA10" s="36" t="str">
        <f t="shared" si="1"/>
        <v>RC</v>
      </c>
    </row>
    <row r="11" spans="1:27" ht="19.5" x14ac:dyDescent="0.3">
      <c r="A11" s="12">
        <v>10</v>
      </c>
      <c r="B11" s="39" t="s">
        <v>91</v>
      </c>
      <c r="C11" s="39" t="s">
        <v>92</v>
      </c>
      <c r="D11" s="39" t="s">
        <v>93</v>
      </c>
      <c r="E11" s="40">
        <v>27888</v>
      </c>
      <c r="F11" s="39" t="s">
        <v>94</v>
      </c>
      <c r="G11" s="41" t="s">
        <v>50</v>
      </c>
      <c r="H11" s="48" t="s">
        <v>46</v>
      </c>
      <c r="I11" s="46" t="s">
        <v>65</v>
      </c>
      <c r="J11" s="41">
        <v>0</v>
      </c>
      <c r="K11" s="41">
        <v>0</v>
      </c>
      <c r="L11" s="46"/>
      <c r="M11" s="47"/>
      <c r="N11" s="47"/>
      <c r="O11" s="47"/>
      <c r="P11" s="47"/>
      <c r="Q11" s="47"/>
      <c r="R11" s="47">
        <v>50000</v>
      </c>
      <c r="S11" s="47"/>
      <c r="T11" s="46"/>
      <c r="U11" s="47"/>
      <c r="V11" s="47"/>
      <c r="W11" s="35"/>
      <c r="X11" s="51">
        <v>44</v>
      </c>
      <c r="Y11" s="36">
        <f>Salaire_Base(Tableau2[[#This Row],[Catégorie]])</f>
        <v>469897.63000000006</v>
      </c>
      <c r="Z11" s="36">
        <f t="shared" si="0"/>
        <v>469897.63000000006</v>
      </c>
      <c r="AA11" s="36" t="str">
        <f t="shared" si="1"/>
        <v>RC</v>
      </c>
    </row>
    <row r="12" spans="1:27" ht="19.5" x14ac:dyDescent="0.3">
      <c r="A12" s="12">
        <v>11</v>
      </c>
      <c r="B12" s="39" t="s">
        <v>95</v>
      </c>
      <c r="C12" s="39" t="s">
        <v>96</v>
      </c>
      <c r="D12" s="39" t="s">
        <v>97</v>
      </c>
      <c r="E12" s="40">
        <v>28363</v>
      </c>
      <c r="F12" s="39" t="s">
        <v>98</v>
      </c>
      <c r="G12" s="41" t="s">
        <v>49</v>
      </c>
      <c r="H12" s="49" t="s">
        <v>47</v>
      </c>
      <c r="I12" s="46" t="s">
        <v>65</v>
      </c>
      <c r="J12" s="41">
        <v>0</v>
      </c>
      <c r="K12" s="41">
        <v>0</v>
      </c>
      <c r="L12" s="46"/>
      <c r="M12" s="47">
        <v>8</v>
      </c>
      <c r="N12" s="47"/>
      <c r="O12" s="47">
        <v>3</v>
      </c>
      <c r="P12" s="47">
        <v>2</v>
      </c>
      <c r="Q12" s="47"/>
      <c r="R12" s="47"/>
      <c r="S12" s="47">
        <v>25000</v>
      </c>
      <c r="T12" s="46">
        <v>3000</v>
      </c>
      <c r="U12" s="47"/>
      <c r="V12" s="47"/>
      <c r="W12" s="35"/>
      <c r="X12" s="51">
        <v>42</v>
      </c>
      <c r="Y12" s="36">
        <f>Salaire_Base(Tableau2[[#This Row],[Catégorie]])</f>
        <v>350126.60000000003</v>
      </c>
      <c r="Z12" s="36">
        <f t="shared" si="0"/>
        <v>375139.60000000003</v>
      </c>
      <c r="AA12" s="36" t="str">
        <f t="shared" si="1"/>
        <v>RC</v>
      </c>
    </row>
    <row r="13" spans="1:27" ht="19.5" x14ac:dyDescent="0.3">
      <c r="A13" s="12">
        <v>12</v>
      </c>
      <c r="B13" s="39" t="s">
        <v>99</v>
      </c>
      <c r="C13" s="39" t="s">
        <v>100</v>
      </c>
      <c r="D13" s="39" t="s">
        <v>101</v>
      </c>
      <c r="E13" s="40">
        <v>29055</v>
      </c>
      <c r="F13" s="39" t="s">
        <v>102</v>
      </c>
      <c r="G13" s="41" t="s">
        <v>50</v>
      </c>
      <c r="H13" s="49" t="s">
        <v>47</v>
      </c>
      <c r="I13" s="46" t="s">
        <v>65</v>
      </c>
      <c r="J13" s="41">
        <v>0</v>
      </c>
      <c r="K13" s="41">
        <v>0</v>
      </c>
      <c r="L13" s="46"/>
      <c r="M13" s="47"/>
      <c r="N13" s="47"/>
      <c r="O13" s="47">
        <v>2</v>
      </c>
      <c r="P13" s="47"/>
      <c r="Q13" s="47"/>
      <c r="R13" s="47"/>
      <c r="S13" s="47"/>
      <c r="T13" s="46"/>
      <c r="U13" s="47">
        <v>17500</v>
      </c>
      <c r="V13" s="47"/>
      <c r="W13" s="35"/>
      <c r="X13" s="51">
        <v>40</v>
      </c>
      <c r="Y13" s="36">
        <f>Salaire_Base(Tableau2[[#This Row],[Catégorie]])</f>
        <v>350126.60000000003</v>
      </c>
      <c r="Z13" s="36">
        <f t="shared" si="0"/>
        <v>350128.60000000003</v>
      </c>
      <c r="AA13" s="36" t="str">
        <f t="shared" si="1"/>
        <v>RG</v>
      </c>
    </row>
    <row r="14" spans="1:27" ht="19.5" x14ac:dyDescent="0.3">
      <c r="A14" s="12">
        <v>13</v>
      </c>
      <c r="B14" s="39" t="s">
        <v>103</v>
      </c>
      <c r="C14" s="39" t="s">
        <v>104</v>
      </c>
      <c r="D14" s="39" t="s">
        <v>105</v>
      </c>
      <c r="E14" s="40">
        <v>30224</v>
      </c>
      <c r="F14" s="39" t="s">
        <v>106</v>
      </c>
      <c r="G14" s="41" t="s">
        <v>49</v>
      </c>
      <c r="H14" s="49" t="s">
        <v>47</v>
      </c>
      <c r="I14" s="46" t="s">
        <v>65</v>
      </c>
      <c r="J14" s="41">
        <v>0</v>
      </c>
      <c r="K14" s="41">
        <v>1</v>
      </c>
      <c r="L14" s="46"/>
      <c r="M14" s="47">
        <v>8</v>
      </c>
      <c r="N14" s="47">
        <v>5</v>
      </c>
      <c r="O14" s="47">
        <v>3</v>
      </c>
      <c r="P14" s="47">
        <v>3</v>
      </c>
      <c r="Q14" s="47"/>
      <c r="R14" s="47"/>
      <c r="S14" s="47">
        <v>17000</v>
      </c>
      <c r="T14" s="47">
        <v>3000</v>
      </c>
      <c r="U14" s="47"/>
      <c r="V14" s="47">
        <v>15000</v>
      </c>
      <c r="W14" s="35"/>
      <c r="X14" s="51">
        <v>37</v>
      </c>
      <c r="Y14" s="36">
        <f>Salaire_Base(Tableau2[[#This Row],[Catégorie]])</f>
        <v>350126.60000000003</v>
      </c>
      <c r="Z14" s="36">
        <f t="shared" si="0"/>
        <v>367145.60000000003</v>
      </c>
      <c r="AA14" s="36" t="str">
        <f t="shared" si="1"/>
        <v>RC</v>
      </c>
    </row>
    <row r="15" spans="1:27" ht="19.5" x14ac:dyDescent="0.3">
      <c r="A15" s="12">
        <v>14</v>
      </c>
      <c r="B15" s="39" t="s">
        <v>107</v>
      </c>
      <c r="C15" s="39" t="s">
        <v>108</v>
      </c>
      <c r="D15" s="39" t="s">
        <v>109</v>
      </c>
      <c r="E15" s="40">
        <v>31307</v>
      </c>
      <c r="F15" s="39" t="s">
        <v>110</v>
      </c>
      <c r="G15" s="41" t="s">
        <v>50</v>
      </c>
      <c r="H15" s="44" t="s">
        <v>48</v>
      </c>
      <c r="I15" s="46" t="s">
        <v>65</v>
      </c>
      <c r="J15" s="41">
        <v>0</v>
      </c>
      <c r="K15" s="41">
        <v>0</v>
      </c>
      <c r="L15" s="46"/>
      <c r="M15" s="47"/>
      <c r="N15" s="47"/>
      <c r="O15" s="47"/>
      <c r="P15" s="47"/>
      <c r="Q15" s="47"/>
      <c r="R15" s="47"/>
      <c r="S15" s="47"/>
      <c r="T15" s="46">
        <v>2500</v>
      </c>
      <c r="U15" s="47"/>
      <c r="V15" s="47"/>
      <c r="W15" s="35"/>
      <c r="X15" s="51">
        <v>34</v>
      </c>
      <c r="Y15" s="36">
        <f>Salaire_Base(Tableau2[[#This Row],[Catégorie]])</f>
        <v>240062.05000000002</v>
      </c>
      <c r="Z15" s="36">
        <f t="shared" si="0"/>
        <v>240062.05000000002</v>
      </c>
      <c r="AA15" s="36" t="str">
        <f t="shared" si="1"/>
        <v>RG</v>
      </c>
    </row>
    <row r="16" spans="1:27" ht="19.5" x14ac:dyDescent="0.3">
      <c r="A16" s="12">
        <v>15</v>
      </c>
      <c r="B16" s="39" t="s">
        <v>111</v>
      </c>
      <c r="C16" s="39" t="s">
        <v>112</v>
      </c>
      <c r="D16" s="39" t="s">
        <v>109</v>
      </c>
      <c r="E16" s="40">
        <v>30760</v>
      </c>
      <c r="F16" s="39" t="s">
        <v>110</v>
      </c>
      <c r="G16" s="41" t="s">
        <v>50</v>
      </c>
      <c r="H16" s="44" t="s">
        <v>48</v>
      </c>
      <c r="I16" s="46" t="s">
        <v>65</v>
      </c>
      <c r="J16" s="41">
        <v>0</v>
      </c>
      <c r="K16" s="41">
        <v>0</v>
      </c>
      <c r="L16" s="46"/>
      <c r="M16" s="47"/>
      <c r="N16" s="47">
        <v>5</v>
      </c>
      <c r="O16" s="47">
        <v>5</v>
      </c>
      <c r="P16" s="47"/>
      <c r="Q16" s="47"/>
      <c r="R16" s="47"/>
      <c r="S16" s="47"/>
      <c r="T16" s="46"/>
      <c r="U16" s="47"/>
      <c r="V16" s="47"/>
      <c r="W16" s="35"/>
      <c r="X16" s="51">
        <v>36</v>
      </c>
      <c r="Y16" s="36">
        <f>Salaire_Base(Tableau2[[#This Row],[Catégorie]])</f>
        <v>240062.05000000002</v>
      </c>
      <c r="Z16" s="36">
        <f t="shared" si="0"/>
        <v>240072.05000000002</v>
      </c>
      <c r="AA16" s="36" t="str">
        <f t="shared" si="1"/>
        <v>RG</v>
      </c>
    </row>
    <row r="17" spans="1:27" ht="19.5" x14ac:dyDescent="0.3">
      <c r="A17" s="12">
        <v>16</v>
      </c>
      <c r="B17" s="39" t="s">
        <v>113</v>
      </c>
      <c r="C17" s="39" t="s">
        <v>114</v>
      </c>
      <c r="D17" s="39" t="s">
        <v>115</v>
      </c>
      <c r="E17" s="40">
        <v>28594</v>
      </c>
      <c r="F17" s="39" t="s">
        <v>116</v>
      </c>
      <c r="G17" s="41" t="s">
        <v>50</v>
      </c>
      <c r="H17" s="44" t="s">
        <v>48</v>
      </c>
      <c r="I17" s="46" t="s">
        <v>51</v>
      </c>
      <c r="J17" s="41">
        <v>1</v>
      </c>
      <c r="K17" s="41">
        <v>4</v>
      </c>
      <c r="L17" s="46"/>
      <c r="M17" s="47">
        <v>8</v>
      </c>
      <c r="N17" s="47"/>
      <c r="O17" s="47"/>
      <c r="P17" s="47">
        <v>6</v>
      </c>
      <c r="Q17" s="47">
        <v>10000</v>
      </c>
      <c r="R17" s="47"/>
      <c r="S17" s="47"/>
      <c r="T17" s="46"/>
      <c r="U17" s="47"/>
      <c r="V17" s="47"/>
      <c r="W17" s="35"/>
      <c r="X17" s="51">
        <v>42</v>
      </c>
      <c r="Y17" s="36">
        <f>Salaire_Base(Tableau2[[#This Row],[Catégorie]])</f>
        <v>240062.05000000002</v>
      </c>
      <c r="Z17" s="36">
        <f t="shared" si="0"/>
        <v>250076.05000000002</v>
      </c>
      <c r="AA17" s="36" t="str">
        <f t="shared" si="1"/>
        <v>RG</v>
      </c>
    </row>
    <row r="18" spans="1:27" ht="19.5" x14ac:dyDescent="0.3">
      <c r="A18" s="12">
        <v>17</v>
      </c>
      <c r="B18" s="39" t="s">
        <v>117</v>
      </c>
      <c r="C18" s="39" t="s">
        <v>118</v>
      </c>
      <c r="D18" s="39" t="s">
        <v>115</v>
      </c>
      <c r="E18" s="40">
        <v>28152</v>
      </c>
      <c r="F18" s="39" t="s">
        <v>119</v>
      </c>
      <c r="G18" s="41" t="s">
        <v>50</v>
      </c>
      <c r="H18" s="44" t="s">
        <v>48</v>
      </c>
      <c r="I18" s="46" t="s">
        <v>51</v>
      </c>
      <c r="J18" s="41">
        <v>1</v>
      </c>
      <c r="K18" s="41">
        <v>3</v>
      </c>
      <c r="L18" s="46"/>
      <c r="M18" s="47"/>
      <c r="N18" s="47">
        <v>2</v>
      </c>
      <c r="O18" s="47">
        <v>5</v>
      </c>
      <c r="P18" s="47"/>
      <c r="Q18" s="47"/>
      <c r="R18" s="47"/>
      <c r="S18" s="47"/>
      <c r="T18" s="46"/>
      <c r="U18" s="47">
        <v>20000</v>
      </c>
      <c r="V18" s="47"/>
      <c r="W18" s="35"/>
      <c r="X18" s="51">
        <v>43</v>
      </c>
      <c r="Y18" s="36">
        <f>Salaire_Base(Tableau2[[#This Row],[Catégorie]])</f>
        <v>240062.05000000002</v>
      </c>
      <c r="Z18" s="36">
        <f t="shared" si="0"/>
        <v>240069.05000000002</v>
      </c>
      <c r="AA18" s="36" t="str">
        <f t="shared" si="1"/>
        <v>RG</v>
      </c>
    </row>
    <row r="19" spans="1:27" ht="19.5" x14ac:dyDescent="0.3">
      <c r="A19" s="12">
        <v>18</v>
      </c>
      <c r="B19" s="39" t="s">
        <v>120</v>
      </c>
      <c r="C19" s="39" t="s">
        <v>121</v>
      </c>
      <c r="D19" s="39" t="s">
        <v>122</v>
      </c>
      <c r="E19" s="40">
        <v>30087</v>
      </c>
      <c r="F19" s="39" t="s">
        <v>123</v>
      </c>
      <c r="G19" s="41" t="s">
        <v>50</v>
      </c>
      <c r="H19" s="48" t="s">
        <v>46</v>
      </c>
      <c r="I19" s="46" t="s">
        <v>51</v>
      </c>
      <c r="J19" s="41">
        <v>2</v>
      </c>
      <c r="K19" s="41">
        <v>7</v>
      </c>
      <c r="L19" s="46"/>
      <c r="M19" s="47"/>
      <c r="N19" s="47"/>
      <c r="O19" s="47"/>
      <c r="P19" s="47"/>
      <c r="Q19" s="47">
        <v>10000</v>
      </c>
      <c r="R19" s="47">
        <v>65000</v>
      </c>
      <c r="S19" s="47"/>
      <c r="T19" s="46"/>
      <c r="U19" s="47">
        <v>15000</v>
      </c>
      <c r="V19" s="47"/>
      <c r="W19" s="35"/>
      <c r="X19" s="51">
        <v>38</v>
      </c>
      <c r="Y19" s="36">
        <f>Salaire_Base(Tableau2[[#This Row],[Catégorie]])</f>
        <v>469897.63000000006</v>
      </c>
      <c r="Z19" s="36">
        <f t="shared" si="0"/>
        <v>479897.63000000006</v>
      </c>
      <c r="AA19" s="36" t="str">
        <f t="shared" si="1"/>
        <v>RC</v>
      </c>
    </row>
    <row r="20" spans="1:27" ht="19.5" x14ac:dyDescent="0.3">
      <c r="A20" s="12">
        <v>19</v>
      </c>
      <c r="B20" s="39" t="s">
        <v>124</v>
      </c>
      <c r="C20" s="39" t="s">
        <v>125</v>
      </c>
      <c r="D20" s="39" t="s">
        <v>126</v>
      </c>
      <c r="E20" s="40">
        <v>30986</v>
      </c>
      <c r="F20" s="39" t="s">
        <v>127</v>
      </c>
      <c r="G20" s="41" t="s">
        <v>50</v>
      </c>
      <c r="H20" s="44" t="s">
        <v>48</v>
      </c>
      <c r="I20" s="46" t="s">
        <v>51</v>
      </c>
      <c r="J20" s="41">
        <v>1</v>
      </c>
      <c r="K20" s="41">
        <v>1</v>
      </c>
      <c r="L20" s="46"/>
      <c r="M20" s="47"/>
      <c r="N20" s="47"/>
      <c r="O20" s="47"/>
      <c r="P20" s="47">
        <v>8</v>
      </c>
      <c r="Q20" s="47"/>
      <c r="R20" s="47"/>
      <c r="S20" s="47"/>
      <c r="T20" s="46">
        <v>3000</v>
      </c>
      <c r="U20" s="47"/>
      <c r="V20" s="47"/>
      <c r="W20" s="35"/>
      <c r="X20" s="51">
        <v>35</v>
      </c>
      <c r="Y20" s="36">
        <f>Salaire_Base(Tableau2[[#This Row],[Catégorie]])</f>
        <v>240062.05000000002</v>
      </c>
      <c r="Z20" s="36">
        <f t="shared" si="0"/>
        <v>240070.05000000002</v>
      </c>
      <c r="AA20" s="36" t="str">
        <f t="shared" si="1"/>
        <v>RG</v>
      </c>
    </row>
    <row r="21" spans="1:27" ht="19.5" x14ac:dyDescent="0.3">
      <c r="A21" s="12">
        <v>20</v>
      </c>
      <c r="B21" s="39" t="s">
        <v>128</v>
      </c>
      <c r="C21" s="39" t="s">
        <v>129</v>
      </c>
      <c r="D21" s="39" t="s">
        <v>126</v>
      </c>
      <c r="E21" s="40">
        <v>28457</v>
      </c>
      <c r="F21" s="39" t="s">
        <v>130</v>
      </c>
      <c r="G21" s="41" t="s">
        <v>50</v>
      </c>
      <c r="H21" s="49" t="s">
        <v>47</v>
      </c>
      <c r="I21" s="46" t="s">
        <v>51</v>
      </c>
      <c r="J21" s="41">
        <v>1</v>
      </c>
      <c r="K21" s="41">
        <v>3</v>
      </c>
      <c r="L21" s="47">
        <v>13500</v>
      </c>
      <c r="M21" s="47">
        <v>8</v>
      </c>
      <c r="N21" s="47">
        <v>3</v>
      </c>
      <c r="O21" s="47"/>
      <c r="P21" s="47"/>
      <c r="Q21" s="47"/>
      <c r="R21" s="47"/>
      <c r="S21" s="47"/>
      <c r="T21" s="46">
        <v>2500</v>
      </c>
      <c r="U21" s="47"/>
      <c r="V21" s="47"/>
      <c r="W21" s="35"/>
      <c r="X21" s="51">
        <v>42</v>
      </c>
      <c r="Y21" s="36">
        <f>Salaire_Base(Tableau2[[#This Row],[Catégorie]])</f>
        <v>350126.60000000003</v>
      </c>
      <c r="Z21" s="36">
        <f t="shared" si="0"/>
        <v>363637.60000000003</v>
      </c>
      <c r="AA21" s="36" t="str">
        <f t="shared" si="1"/>
        <v>RC</v>
      </c>
    </row>
    <row r="22" spans="1:27" ht="19.5" x14ac:dyDescent="0.3">
      <c r="A22" s="12">
        <v>21</v>
      </c>
      <c r="B22" s="39" t="s">
        <v>131</v>
      </c>
      <c r="C22" s="39" t="s">
        <v>132</v>
      </c>
      <c r="D22" s="39" t="s">
        <v>133</v>
      </c>
      <c r="E22" s="40">
        <v>29131</v>
      </c>
      <c r="F22" s="39" t="s">
        <v>134</v>
      </c>
      <c r="G22" s="41" t="s">
        <v>50</v>
      </c>
      <c r="H22" s="49" t="s">
        <v>47</v>
      </c>
      <c r="I22" s="46" t="s">
        <v>51</v>
      </c>
      <c r="J22" s="41">
        <v>2</v>
      </c>
      <c r="K22" s="41">
        <v>4</v>
      </c>
      <c r="L22" s="46"/>
      <c r="M22" s="47">
        <v>8</v>
      </c>
      <c r="N22" s="47">
        <v>4</v>
      </c>
      <c r="O22" s="47">
        <v>4</v>
      </c>
      <c r="P22" s="47">
        <v>6</v>
      </c>
      <c r="Q22" s="47"/>
      <c r="R22" s="47"/>
      <c r="S22" s="47">
        <v>20000</v>
      </c>
      <c r="T22" s="46"/>
      <c r="U22" s="47"/>
      <c r="V22" s="47"/>
      <c r="W22" s="35"/>
      <c r="X22" s="51">
        <v>40</v>
      </c>
      <c r="Y22" s="36">
        <f>Salaire_Base(Tableau2[[#This Row],[Catégorie]])</f>
        <v>350126.60000000003</v>
      </c>
      <c r="Z22" s="36">
        <f t="shared" si="0"/>
        <v>370148.60000000003</v>
      </c>
      <c r="AA22" s="36" t="str">
        <f t="shared" si="1"/>
        <v>RC</v>
      </c>
    </row>
    <row r="23" spans="1:27" ht="19.5" x14ac:dyDescent="0.3">
      <c r="A23" s="12">
        <v>22</v>
      </c>
      <c r="B23" s="39" t="s">
        <v>135</v>
      </c>
      <c r="C23" s="39" t="s">
        <v>136</v>
      </c>
      <c r="D23" s="39" t="s">
        <v>133</v>
      </c>
      <c r="E23" s="40">
        <v>30174</v>
      </c>
      <c r="F23" s="39" t="s">
        <v>137</v>
      </c>
      <c r="G23" s="41" t="s">
        <v>49</v>
      </c>
      <c r="H23" s="49" t="s">
        <v>47</v>
      </c>
      <c r="I23" s="46" t="s">
        <v>51</v>
      </c>
      <c r="J23" s="41">
        <v>0</v>
      </c>
      <c r="K23" s="41">
        <v>3</v>
      </c>
      <c r="L23" s="46"/>
      <c r="M23" s="47"/>
      <c r="N23" s="47"/>
      <c r="O23" s="47"/>
      <c r="P23" s="47"/>
      <c r="Q23" s="47">
        <v>10000</v>
      </c>
      <c r="R23" s="47"/>
      <c r="S23" s="47"/>
      <c r="T23" s="46"/>
      <c r="U23" s="47"/>
      <c r="V23" s="47"/>
      <c r="W23" s="35"/>
      <c r="X23" s="51">
        <v>37</v>
      </c>
      <c r="Y23" s="36">
        <f>Salaire_Base(Tableau2[[#This Row],[Catégorie]])</f>
        <v>350126.60000000003</v>
      </c>
      <c r="Z23" s="36">
        <f t="shared" si="0"/>
        <v>360126.60000000003</v>
      </c>
      <c r="AA23" s="36" t="str">
        <f t="shared" si="1"/>
        <v>RC</v>
      </c>
    </row>
    <row r="24" spans="1:27" ht="19.5" x14ac:dyDescent="0.3">
      <c r="A24" s="12">
        <v>23</v>
      </c>
      <c r="B24" s="39" t="s">
        <v>138</v>
      </c>
      <c r="C24" s="39" t="s">
        <v>139</v>
      </c>
      <c r="D24" s="39" t="s">
        <v>140</v>
      </c>
      <c r="E24" s="40">
        <v>27518</v>
      </c>
      <c r="F24" s="39" t="s">
        <v>141</v>
      </c>
      <c r="G24" s="41" t="s">
        <v>50</v>
      </c>
      <c r="H24" s="44" t="s">
        <v>48</v>
      </c>
      <c r="I24" s="46" t="s">
        <v>51</v>
      </c>
      <c r="J24" s="41">
        <v>2</v>
      </c>
      <c r="K24" s="41">
        <v>5</v>
      </c>
      <c r="L24" s="46"/>
      <c r="M24" s="47"/>
      <c r="N24" s="47"/>
      <c r="O24" s="47">
        <v>3</v>
      </c>
      <c r="P24" s="47">
        <v>6</v>
      </c>
      <c r="Q24" s="47"/>
      <c r="R24" s="47">
        <v>50000</v>
      </c>
      <c r="S24" s="47"/>
      <c r="T24" s="46"/>
      <c r="U24" s="47"/>
      <c r="V24" s="47"/>
      <c r="W24" s="35"/>
      <c r="X24" s="51">
        <v>45</v>
      </c>
      <c r="Y24" s="36">
        <f>Salaire_Base(Tableau2[[#This Row],[Catégorie]])</f>
        <v>240062.05000000002</v>
      </c>
      <c r="Z24" s="36">
        <f t="shared" si="0"/>
        <v>240071.05000000002</v>
      </c>
      <c r="AA24" s="36" t="str">
        <f t="shared" si="1"/>
        <v>RG</v>
      </c>
    </row>
    <row r="25" spans="1:27" ht="19.5" x14ac:dyDescent="0.3">
      <c r="A25" s="12">
        <v>24</v>
      </c>
      <c r="B25" s="39" t="s">
        <v>142</v>
      </c>
      <c r="C25" s="39" t="s">
        <v>143</v>
      </c>
      <c r="D25" s="39" t="s">
        <v>144</v>
      </c>
      <c r="E25" s="40">
        <v>29155</v>
      </c>
      <c r="F25" s="39" t="s">
        <v>145</v>
      </c>
      <c r="G25" s="41" t="s">
        <v>50</v>
      </c>
      <c r="H25" s="44" t="s">
        <v>48</v>
      </c>
      <c r="I25" s="46" t="s">
        <v>51</v>
      </c>
      <c r="J25" s="41">
        <v>1</v>
      </c>
      <c r="K25" s="41">
        <v>0</v>
      </c>
      <c r="L25" s="46"/>
      <c r="M25" s="47">
        <v>8</v>
      </c>
      <c r="N25" s="47">
        <v>5</v>
      </c>
      <c r="O25" s="47">
        <v>2</v>
      </c>
      <c r="P25" s="47"/>
      <c r="Q25" s="47">
        <v>10000</v>
      </c>
      <c r="R25" s="47"/>
      <c r="S25" s="47"/>
      <c r="T25" s="46">
        <v>2500</v>
      </c>
      <c r="U25" s="47"/>
      <c r="V25" s="47"/>
      <c r="W25" s="35"/>
      <c r="X25" s="51">
        <v>40</v>
      </c>
      <c r="Y25" s="36">
        <f>Salaire_Base(Tableau2[[#This Row],[Catégorie]])</f>
        <v>240062.05000000002</v>
      </c>
      <c r="Z25" s="36">
        <f t="shared" si="0"/>
        <v>250077.05000000002</v>
      </c>
      <c r="AA25" s="36" t="str">
        <f t="shared" si="1"/>
        <v>RG</v>
      </c>
    </row>
    <row r="26" spans="1:27" ht="19.5" x14ac:dyDescent="0.3">
      <c r="A26" s="12">
        <v>25</v>
      </c>
      <c r="B26" s="39" t="s">
        <v>146</v>
      </c>
      <c r="C26" s="39" t="s">
        <v>147</v>
      </c>
      <c r="D26" s="39" t="s">
        <v>144</v>
      </c>
      <c r="E26" s="40">
        <v>28582</v>
      </c>
      <c r="F26" s="39" t="s">
        <v>148</v>
      </c>
      <c r="G26" s="41" t="s">
        <v>49</v>
      </c>
      <c r="H26" s="44" t="s">
        <v>48</v>
      </c>
      <c r="I26" s="46" t="s">
        <v>65</v>
      </c>
      <c r="J26" s="41">
        <v>0</v>
      </c>
      <c r="K26" s="41">
        <v>0</v>
      </c>
      <c r="L26" s="46"/>
      <c r="M26" s="47"/>
      <c r="N26" s="47">
        <v>4</v>
      </c>
      <c r="O26" s="47"/>
      <c r="P26" s="47">
        <v>5</v>
      </c>
      <c r="Q26" s="47"/>
      <c r="R26" s="47"/>
      <c r="S26" s="47"/>
      <c r="T26" s="46">
        <v>3000</v>
      </c>
      <c r="U26" s="47">
        <v>30000</v>
      </c>
      <c r="V26" s="47"/>
      <c r="W26" s="35"/>
      <c r="X26" s="51">
        <v>42</v>
      </c>
      <c r="Y26" s="36">
        <f>Salaire_Base(Tableau2[[#This Row],[Catégorie]])</f>
        <v>240062.05000000002</v>
      </c>
      <c r="Z26" s="36">
        <f t="shared" si="0"/>
        <v>240071.05000000002</v>
      </c>
      <c r="AA26" s="36" t="str">
        <f t="shared" si="1"/>
        <v>RG</v>
      </c>
    </row>
    <row r="27" spans="1:27" ht="19.5" x14ac:dyDescent="0.3">
      <c r="A27" s="12">
        <v>26</v>
      </c>
      <c r="B27" s="39" t="s">
        <v>149</v>
      </c>
      <c r="C27" s="39" t="s">
        <v>150</v>
      </c>
      <c r="D27" s="39" t="s">
        <v>151</v>
      </c>
      <c r="E27" s="40">
        <v>31255</v>
      </c>
      <c r="F27" s="39" t="s">
        <v>152</v>
      </c>
      <c r="G27" s="41" t="s">
        <v>50</v>
      </c>
      <c r="H27" s="44" t="s">
        <v>48</v>
      </c>
      <c r="I27" s="46" t="s">
        <v>65</v>
      </c>
      <c r="J27" s="41">
        <v>0</v>
      </c>
      <c r="K27" s="41">
        <v>0</v>
      </c>
      <c r="L27" s="47">
        <v>12000</v>
      </c>
      <c r="M27" s="47">
        <v>8</v>
      </c>
      <c r="N27" s="47">
        <v>4</v>
      </c>
      <c r="O27" s="47">
        <v>5</v>
      </c>
      <c r="P27" s="47">
        <v>7</v>
      </c>
      <c r="Q27" s="47"/>
      <c r="R27" s="47"/>
      <c r="S27" s="47"/>
      <c r="T27" s="46"/>
      <c r="U27" s="47"/>
      <c r="V27" s="47"/>
      <c r="W27" s="35"/>
      <c r="X27" s="51">
        <v>34</v>
      </c>
      <c r="Y27" s="36">
        <f>Salaire_Base(Tableau2[[#This Row],[Catégorie]])</f>
        <v>240062.05000000002</v>
      </c>
      <c r="Z27" s="36">
        <f t="shared" si="0"/>
        <v>252086.05000000002</v>
      </c>
      <c r="AA27" s="36" t="str">
        <f t="shared" si="1"/>
        <v>RG</v>
      </c>
    </row>
    <row r="28" spans="1:27" ht="19.5" x14ac:dyDescent="0.3">
      <c r="A28" s="12">
        <v>27</v>
      </c>
      <c r="B28" s="39" t="s">
        <v>153</v>
      </c>
      <c r="C28" s="39" t="s">
        <v>114</v>
      </c>
      <c r="D28" s="39" t="s">
        <v>154</v>
      </c>
      <c r="E28" s="40">
        <v>31369</v>
      </c>
      <c r="F28" s="39" t="s">
        <v>155</v>
      </c>
      <c r="G28" s="41" t="s">
        <v>50</v>
      </c>
      <c r="H28" s="48" t="s">
        <v>46</v>
      </c>
      <c r="I28" s="46" t="s">
        <v>65</v>
      </c>
      <c r="J28" s="41">
        <v>0</v>
      </c>
      <c r="K28" s="41">
        <v>0</v>
      </c>
      <c r="L28" s="46"/>
      <c r="M28" s="47"/>
      <c r="N28" s="47"/>
      <c r="O28" s="47"/>
      <c r="P28" s="47"/>
      <c r="Q28" s="47"/>
      <c r="R28" s="47">
        <v>15000</v>
      </c>
      <c r="S28" s="47"/>
      <c r="T28" s="46">
        <v>3000</v>
      </c>
      <c r="U28" s="47"/>
      <c r="V28" s="47"/>
      <c r="W28" s="35"/>
      <c r="X28" s="51">
        <v>34</v>
      </c>
      <c r="Y28" s="36">
        <f>Salaire_Base(Tableau2[[#This Row],[Catégorie]])</f>
        <v>469897.63000000006</v>
      </c>
      <c r="Z28" s="36">
        <f t="shared" si="0"/>
        <v>469897.63000000006</v>
      </c>
      <c r="AA28" s="36" t="str">
        <f t="shared" si="1"/>
        <v>RC</v>
      </c>
    </row>
    <row r="29" spans="1:27" ht="19.5" x14ac:dyDescent="0.3">
      <c r="A29" s="12">
        <v>28</v>
      </c>
      <c r="B29" s="39" t="s">
        <v>156</v>
      </c>
      <c r="C29" s="39" t="s">
        <v>157</v>
      </c>
      <c r="D29" s="39" t="s">
        <v>158</v>
      </c>
      <c r="E29" s="40">
        <v>29901</v>
      </c>
      <c r="F29" s="39" t="s">
        <v>159</v>
      </c>
      <c r="G29" s="41" t="s">
        <v>50</v>
      </c>
      <c r="H29" s="49" t="s">
        <v>47</v>
      </c>
      <c r="I29" s="46" t="s">
        <v>65</v>
      </c>
      <c r="J29" s="41">
        <v>0</v>
      </c>
      <c r="K29" s="41">
        <v>0</v>
      </c>
      <c r="L29" s="46"/>
      <c r="M29" s="47">
        <v>8</v>
      </c>
      <c r="N29" s="47">
        <v>2</v>
      </c>
      <c r="O29" s="47"/>
      <c r="P29" s="47">
        <v>5</v>
      </c>
      <c r="Q29" s="47"/>
      <c r="R29" s="47"/>
      <c r="S29" s="47"/>
      <c r="T29" s="46">
        <v>2500</v>
      </c>
      <c r="U29" s="47"/>
      <c r="V29" s="47"/>
      <c r="W29" s="35"/>
      <c r="X29" s="51">
        <v>38</v>
      </c>
      <c r="Y29" s="36">
        <f>Salaire_Base(Tableau2[[#This Row],[Catégorie]])</f>
        <v>350126.60000000003</v>
      </c>
      <c r="Z29" s="36">
        <f t="shared" si="0"/>
        <v>350141.60000000003</v>
      </c>
      <c r="AA29" s="36" t="str">
        <f t="shared" si="1"/>
        <v>RG</v>
      </c>
    </row>
    <row r="30" spans="1:27" ht="19.5" x14ac:dyDescent="0.3">
      <c r="A30" s="12">
        <v>29</v>
      </c>
      <c r="B30" s="39" t="s">
        <v>160</v>
      </c>
      <c r="C30" s="39" t="s">
        <v>161</v>
      </c>
      <c r="D30" s="39" t="s">
        <v>162</v>
      </c>
      <c r="E30" s="40">
        <v>31169</v>
      </c>
      <c r="F30" s="39" t="s">
        <v>163</v>
      </c>
      <c r="G30" s="41" t="s">
        <v>49</v>
      </c>
      <c r="H30" s="48" t="s">
        <v>46</v>
      </c>
      <c r="I30" s="46" t="s">
        <v>51</v>
      </c>
      <c r="J30" s="41">
        <v>0</v>
      </c>
      <c r="K30" s="41">
        <v>2</v>
      </c>
      <c r="L30" s="46"/>
      <c r="M30" s="47"/>
      <c r="N30" s="47"/>
      <c r="O30" s="47"/>
      <c r="P30" s="47"/>
      <c r="Q30" s="47">
        <v>10000</v>
      </c>
      <c r="R30" s="47">
        <v>17500</v>
      </c>
      <c r="S30" s="47"/>
      <c r="T30" s="46"/>
      <c r="U30" s="47"/>
      <c r="V30" s="47"/>
      <c r="W30" s="35"/>
      <c r="X30" s="51">
        <v>35</v>
      </c>
      <c r="Y30" s="36">
        <f>Salaire_Base(Tableau2[[#This Row],[Catégorie]])</f>
        <v>469897.63000000006</v>
      </c>
      <c r="Z30" s="36">
        <f t="shared" si="0"/>
        <v>479897.63000000006</v>
      </c>
      <c r="AA30" s="36" t="str">
        <f t="shared" si="1"/>
        <v>RC</v>
      </c>
    </row>
    <row r="31" spans="1:27" ht="19.5" x14ac:dyDescent="0.3">
      <c r="A31" s="12">
        <v>30</v>
      </c>
      <c r="B31" s="39" t="s">
        <v>164</v>
      </c>
      <c r="C31" s="39" t="s">
        <v>165</v>
      </c>
      <c r="D31" s="39" t="s">
        <v>166</v>
      </c>
      <c r="E31" s="40">
        <v>28845</v>
      </c>
      <c r="F31" s="39" t="s">
        <v>167</v>
      </c>
      <c r="G31" s="41" t="s">
        <v>50</v>
      </c>
      <c r="H31" s="48" t="s">
        <v>46</v>
      </c>
      <c r="I31" s="46" t="s">
        <v>51</v>
      </c>
      <c r="J31" s="41">
        <v>3</v>
      </c>
      <c r="K31" s="41">
        <v>7</v>
      </c>
      <c r="L31" s="46"/>
      <c r="M31" s="47"/>
      <c r="N31" s="47"/>
      <c r="O31" s="47"/>
      <c r="P31" s="47"/>
      <c r="Q31" s="47">
        <v>8000</v>
      </c>
      <c r="R31" s="47"/>
      <c r="S31" s="47"/>
      <c r="T31" s="46">
        <v>3000</v>
      </c>
      <c r="U31" s="47">
        <v>12500</v>
      </c>
      <c r="V31" s="47"/>
      <c r="W31" s="35"/>
      <c r="X31" s="51">
        <v>41</v>
      </c>
      <c r="Y31" s="36">
        <f>Salaire_Base(Tableau2[[#This Row],[Catégorie]])</f>
        <v>469897.63000000006</v>
      </c>
      <c r="Z31" s="36">
        <f t="shared" si="0"/>
        <v>477897.63000000006</v>
      </c>
      <c r="AA31" s="36" t="str">
        <f t="shared" si="1"/>
        <v>RC</v>
      </c>
    </row>
    <row r="32" spans="1:27" ht="19.5" x14ac:dyDescent="0.3">
      <c r="A32" s="12">
        <v>31</v>
      </c>
      <c r="B32" s="39" t="s">
        <v>168</v>
      </c>
      <c r="C32" s="39" t="s">
        <v>169</v>
      </c>
      <c r="D32" s="39" t="s">
        <v>170</v>
      </c>
      <c r="E32" s="40">
        <v>28457</v>
      </c>
      <c r="F32" s="39" t="s">
        <v>171</v>
      </c>
      <c r="G32" s="41" t="s">
        <v>50</v>
      </c>
      <c r="H32" s="48" t="s">
        <v>46</v>
      </c>
      <c r="I32" s="46" t="s">
        <v>51</v>
      </c>
      <c r="J32" s="41">
        <v>1</v>
      </c>
      <c r="K32" s="41">
        <v>5</v>
      </c>
      <c r="L32" s="46"/>
      <c r="M32" s="47"/>
      <c r="N32" s="47"/>
      <c r="O32" s="47"/>
      <c r="P32" s="47"/>
      <c r="Q32" s="47"/>
      <c r="R32" s="47">
        <v>10000</v>
      </c>
      <c r="S32" s="47">
        <v>20000</v>
      </c>
      <c r="T32" s="46"/>
      <c r="U32" s="47"/>
      <c r="V32" s="47"/>
      <c r="W32" s="35"/>
      <c r="X32" s="51">
        <v>42</v>
      </c>
      <c r="Y32" s="36">
        <f>Salaire_Base(Tableau2[[#This Row],[Catégorie]])</f>
        <v>469897.63000000006</v>
      </c>
      <c r="Z32" s="36">
        <f t="shared" si="0"/>
        <v>489897.63000000006</v>
      </c>
      <c r="AA32" s="36" t="str">
        <f t="shared" si="1"/>
        <v>RC</v>
      </c>
    </row>
    <row r="33" spans="1:27" ht="19.5" x14ac:dyDescent="0.3">
      <c r="A33" s="12">
        <v>32</v>
      </c>
      <c r="B33" s="39" t="s">
        <v>172</v>
      </c>
      <c r="C33" s="39" t="s">
        <v>173</v>
      </c>
      <c r="D33" s="39" t="s">
        <v>174</v>
      </c>
      <c r="E33" s="40">
        <v>31140</v>
      </c>
      <c r="F33" s="39" t="s">
        <v>175</v>
      </c>
      <c r="G33" s="41" t="s">
        <v>50</v>
      </c>
      <c r="H33" s="49" t="s">
        <v>47</v>
      </c>
      <c r="I33" s="46" t="s">
        <v>51</v>
      </c>
      <c r="J33" s="41">
        <v>1</v>
      </c>
      <c r="K33" s="41">
        <v>3</v>
      </c>
      <c r="L33" s="46"/>
      <c r="M33" s="47">
        <v>8</v>
      </c>
      <c r="N33" s="47"/>
      <c r="O33" s="47"/>
      <c r="P33" s="47">
        <v>3</v>
      </c>
      <c r="Q33" s="47"/>
      <c r="R33" s="47"/>
      <c r="S33" s="47"/>
      <c r="T33" s="46">
        <v>3000</v>
      </c>
      <c r="U33" s="47"/>
      <c r="V33" s="47"/>
      <c r="W33" s="35"/>
      <c r="X33" s="51">
        <v>35</v>
      </c>
      <c r="Y33" s="36">
        <f>Salaire_Base(Tableau2[[#This Row],[Catégorie]])</f>
        <v>350126.60000000003</v>
      </c>
      <c r="Z33" s="36">
        <f t="shared" si="0"/>
        <v>350137.60000000003</v>
      </c>
      <c r="AA33" s="36" t="str">
        <f t="shared" si="1"/>
        <v>RG</v>
      </c>
    </row>
    <row r="34" spans="1:27" ht="19.5" x14ac:dyDescent="0.3">
      <c r="A34" s="12">
        <v>33</v>
      </c>
      <c r="B34" s="39" t="s">
        <v>176</v>
      </c>
      <c r="C34" s="39" t="s">
        <v>177</v>
      </c>
      <c r="D34" s="39" t="s">
        <v>178</v>
      </c>
      <c r="E34" s="40">
        <v>28377</v>
      </c>
      <c r="F34" s="39" t="s">
        <v>179</v>
      </c>
      <c r="G34" s="41" t="s">
        <v>50</v>
      </c>
      <c r="H34" s="49" t="s">
        <v>47</v>
      </c>
      <c r="I34" s="46" t="s">
        <v>51</v>
      </c>
      <c r="J34" s="41">
        <v>1</v>
      </c>
      <c r="K34" s="41">
        <v>4</v>
      </c>
      <c r="L34" s="46"/>
      <c r="M34" s="47"/>
      <c r="N34" s="47"/>
      <c r="O34" s="47"/>
      <c r="P34" s="47">
        <v>6</v>
      </c>
      <c r="Q34" s="47"/>
      <c r="R34" s="47"/>
      <c r="S34" s="47"/>
      <c r="T34" s="46">
        <v>3000</v>
      </c>
      <c r="U34" s="47"/>
      <c r="V34" s="47"/>
      <c r="W34" s="35"/>
      <c r="X34" s="51">
        <v>42</v>
      </c>
      <c r="Y34" s="36">
        <f>Salaire_Base(Tableau2[[#This Row],[Catégorie]])</f>
        <v>350126.60000000003</v>
      </c>
      <c r="Z34" s="36">
        <f t="shared" si="0"/>
        <v>350132.60000000003</v>
      </c>
      <c r="AA34" s="36" t="str">
        <f t="shared" si="1"/>
        <v>RG</v>
      </c>
    </row>
    <row r="35" spans="1:27" ht="19.5" x14ac:dyDescent="0.3">
      <c r="A35" s="12">
        <v>34</v>
      </c>
      <c r="B35" s="39" t="s">
        <v>180</v>
      </c>
      <c r="C35" s="39" t="s">
        <v>181</v>
      </c>
      <c r="D35" s="39" t="s">
        <v>182</v>
      </c>
      <c r="E35" s="40">
        <v>27524</v>
      </c>
      <c r="F35" s="39" t="s">
        <v>183</v>
      </c>
      <c r="G35" s="41" t="s">
        <v>49</v>
      </c>
      <c r="H35" s="49" t="s">
        <v>47</v>
      </c>
      <c r="I35" s="46" t="s">
        <v>51</v>
      </c>
      <c r="J35" s="41">
        <v>0</v>
      </c>
      <c r="K35" s="41">
        <v>2</v>
      </c>
      <c r="L35" s="46"/>
      <c r="M35" s="47">
        <v>8</v>
      </c>
      <c r="N35" s="47"/>
      <c r="O35" s="47"/>
      <c r="P35" s="47"/>
      <c r="Q35" s="47"/>
      <c r="R35" s="47">
        <v>14500</v>
      </c>
      <c r="S35" s="47">
        <v>25000</v>
      </c>
      <c r="T35" s="46"/>
      <c r="U35" s="47">
        <v>10000</v>
      </c>
      <c r="V35" s="47"/>
      <c r="W35" s="35"/>
      <c r="X35" s="51">
        <v>45</v>
      </c>
      <c r="Y35" s="36">
        <f>Salaire_Base(Tableau2[[#This Row],[Catégorie]])</f>
        <v>350126.60000000003</v>
      </c>
      <c r="Z35" s="36">
        <f t="shared" si="0"/>
        <v>375134.60000000003</v>
      </c>
      <c r="AA35" s="36" t="str">
        <f t="shared" si="1"/>
        <v>RC</v>
      </c>
    </row>
    <row r="36" spans="1:27" ht="19.5" x14ac:dyDescent="0.3">
      <c r="A36" s="12">
        <v>35</v>
      </c>
      <c r="B36" s="39" t="s">
        <v>184</v>
      </c>
      <c r="C36" s="39" t="s">
        <v>185</v>
      </c>
      <c r="D36" s="39" t="s">
        <v>186</v>
      </c>
      <c r="E36" s="40">
        <v>30179</v>
      </c>
      <c r="F36" s="39" t="s">
        <v>187</v>
      </c>
      <c r="G36" s="41" t="s">
        <v>50</v>
      </c>
      <c r="H36" s="49" t="s">
        <v>47</v>
      </c>
      <c r="I36" s="46" t="s">
        <v>51</v>
      </c>
      <c r="J36" s="41">
        <v>2</v>
      </c>
      <c r="K36" s="41">
        <v>4</v>
      </c>
      <c r="L36" s="46"/>
      <c r="M36" s="47"/>
      <c r="N36" s="47"/>
      <c r="O36" s="47"/>
      <c r="P36" s="47">
        <v>2</v>
      </c>
      <c r="Q36" s="47"/>
      <c r="R36" s="47"/>
      <c r="S36" s="47"/>
      <c r="T36" s="46"/>
      <c r="U36" s="47"/>
      <c r="V36" s="47"/>
      <c r="W36" s="35"/>
      <c r="X36" s="51">
        <v>37</v>
      </c>
      <c r="Y36" s="36">
        <f>Salaire_Base(Tableau2[[#This Row],[Catégorie]])</f>
        <v>350126.60000000003</v>
      </c>
      <c r="Z36" s="36">
        <f t="shared" si="0"/>
        <v>350128.60000000003</v>
      </c>
      <c r="AA36" s="36" t="str">
        <f t="shared" si="1"/>
        <v>RG</v>
      </c>
    </row>
    <row r="37" spans="1:27" ht="19.5" x14ac:dyDescent="0.3">
      <c r="A37" s="12">
        <v>36</v>
      </c>
      <c r="B37" s="39" t="s">
        <v>188</v>
      </c>
      <c r="C37" s="39" t="s">
        <v>189</v>
      </c>
      <c r="D37" s="39" t="s">
        <v>190</v>
      </c>
      <c r="E37" s="40">
        <v>28296</v>
      </c>
      <c r="F37" s="39" t="s">
        <v>191</v>
      </c>
      <c r="G37" s="41" t="s">
        <v>50</v>
      </c>
      <c r="H37" s="49" t="s">
        <v>47</v>
      </c>
      <c r="I37" s="46" t="s">
        <v>51</v>
      </c>
      <c r="J37" s="41">
        <v>1</v>
      </c>
      <c r="K37" s="41">
        <v>6</v>
      </c>
      <c r="L37" s="46"/>
      <c r="M37" s="47"/>
      <c r="N37" s="47"/>
      <c r="O37" s="47"/>
      <c r="P37" s="47">
        <v>4</v>
      </c>
      <c r="Q37" s="47"/>
      <c r="R37" s="47"/>
      <c r="S37" s="47"/>
      <c r="T37" s="46"/>
      <c r="U37" s="47">
        <v>13000</v>
      </c>
      <c r="V37" s="47"/>
      <c r="W37" s="35"/>
      <c r="X37" s="51">
        <v>42</v>
      </c>
      <c r="Y37" s="36">
        <f>Salaire_Base(Tableau2[[#This Row],[Catégorie]])</f>
        <v>350126.60000000003</v>
      </c>
      <c r="Z37" s="36">
        <f t="shared" si="0"/>
        <v>350130.60000000003</v>
      </c>
      <c r="AA37" s="36" t="str">
        <f t="shared" si="1"/>
        <v>RG</v>
      </c>
    </row>
    <row r="38" spans="1:27" ht="19.5" x14ac:dyDescent="0.3">
      <c r="A38" s="12">
        <v>37</v>
      </c>
      <c r="B38" s="39" t="s">
        <v>192</v>
      </c>
      <c r="C38" s="39" t="s">
        <v>174</v>
      </c>
      <c r="D38" s="39" t="s">
        <v>193</v>
      </c>
      <c r="E38" s="40">
        <v>28795</v>
      </c>
      <c r="F38" s="39" t="s">
        <v>98</v>
      </c>
      <c r="G38" s="41" t="s">
        <v>50</v>
      </c>
      <c r="H38" s="44" t="s">
        <v>48</v>
      </c>
      <c r="I38" s="46" t="s">
        <v>65</v>
      </c>
      <c r="J38" s="41">
        <v>0</v>
      </c>
      <c r="K38" s="41">
        <v>0</v>
      </c>
      <c r="L38" s="47">
        <v>10000</v>
      </c>
      <c r="M38" s="47"/>
      <c r="N38" s="47"/>
      <c r="O38" s="47"/>
      <c r="P38" s="47"/>
      <c r="Q38" s="47"/>
      <c r="R38" s="47"/>
      <c r="S38" s="47"/>
      <c r="T38" s="46">
        <v>3000</v>
      </c>
      <c r="U38" s="47"/>
      <c r="V38" s="47"/>
      <c r="W38" s="35"/>
      <c r="X38" s="51">
        <v>41</v>
      </c>
      <c r="Y38" s="36">
        <f>Salaire_Base(Tableau2[[#This Row],[Catégorie]])</f>
        <v>240062.05000000002</v>
      </c>
      <c r="Z38" s="36">
        <f t="shared" si="0"/>
        <v>250062.05000000002</v>
      </c>
      <c r="AA38" s="36" t="str">
        <f t="shared" si="1"/>
        <v>RG</v>
      </c>
    </row>
    <row r="39" spans="1:27" ht="19.5" x14ac:dyDescent="0.3">
      <c r="A39" s="12">
        <v>38</v>
      </c>
      <c r="B39" s="39" t="s">
        <v>194</v>
      </c>
      <c r="C39" s="39" t="s">
        <v>195</v>
      </c>
      <c r="D39" s="39" t="s">
        <v>193</v>
      </c>
      <c r="E39" s="40">
        <v>27843</v>
      </c>
      <c r="F39" s="39" t="s">
        <v>102</v>
      </c>
      <c r="G39" s="41" t="s">
        <v>50</v>
      </c>
      <c r="H39" s="48" t="s">
        <v>46</v>
      </c>
      <c r="I39" s="46" t="s">
        <v>65</v>
      </c>
      <c r="J39" s="41">
        <v>0</v>
      </c>
      <c r="K39" s="41">
        <v>0</v>
      </c>
      <c r="L39" s="46"/>
      <c r="M39" s="47"/>
      <c r="N39" s="47"/>
      <c r="O39" s="47"/>
      <c r="P39" s="47"/>
      <c r="Q39" s="47">
        <v>10000</v>
      </c>
      <c r="R39" s="47">
        <v>15000</v>
      </c>
      <c r="S39" s="47"/>
      <c r="T39" s="46"/>
      <c r="U39" s="47">
        <v>10000</v>
      </c>
      <c r="V39" s="47"/>
      <c r="W39" s="35"/>
      <c r="X39" s="51">
        <v>44</v>
      </c>
      <c r="Y39" s="36">
        <f>Salaire_Base(Tableau2[[#This Row],[Catégorie]])</f>
        <v>469897.63000000006</v>
      </c>
      <c r="Z39" s="36">
        <f t="shared" si="0"/>
        <v>479897.63000000006</v>
      </c>
      <c r="AA39" s="36" t="str">
        <f t="shared" si="1"/>
        <v>RC</v>
      </c>
    </row>
    <row r="40" spans="1:27" ht="19.5" x14ac:dyDescent="0.3">
      <c r="A40" s="12">
        <v>39</v>
      </c>
      <c r="B40" s="39" t="s">
        <v>196</v>
      </c>
      <c r="C40" s="39" t="s">
        <v>197</v>
      </c>
      <c r="D40" s="39" t="s">
        <v>198</v>
      </c>
      <c r="E40" s="40">
        <v>28052</v>
      </c>
      <c r="F40" s="39" t="s">
        <v>199</v>
      </c>
      <c r="G40" s="41" t="s">
        <v>49</v>
      </c>
      <c r="H40" s="44" t="s">
        <v>48</v>
      </c>
      <c r="I40" s="46" t="s">
        <v>65</v>
      </c>
      <c r="J40" s="41">
        <v>0</v>
      </c>
      <c r="K40" s="41">
        <v>0</v>
      </c>
      <c r="L40" s="46"/>
      <c r="M40" s="47"/>
      <c r="N40" s="47"/>
      <c r="O40" s="47"/>
      <c r="P40" s="47"/>
      <c r="Q40" s="47"/>
      <c r="R40" s="47"/>
      <c r="S40" s="47"/>
      <c r="T40" s="46"/>
      <c r="U40" s="47"/>
      <c r="V40" s="47"/>
      <c r="W40" s="35"/>
      <c r="X40" s="51">
        <v>43</v>
      </c>
      <c r="Y40" s="36">
        <f>Salaire_Base(Tableau2[[#This Row],[Catégorie]])</f>
        <v>240062.05000000002</v>
      </c>
      <c r="Z40" s="36">
        <f t="shared" si="0"/>
        <v>240062.05000000002</v>
      </c>
      <c r="AA40" s="36" t="str">
        <f t="shared" si="1"/>
        <v>RG</v>
      </c>
    </row>
    <row r="41" spans="1:27" ht="19.5" x14ac:dyDescent="0.3">
      <c r="A41" s="12">
        <v>40</v>
      </c>
      <c r="B41" s="39" t="s">
        <v>200</v>
      </c>
      <c r="C41" s="39" t="s">
        <v>201</v>
      </c>
      <c r="D41" s="39" t="s">
        <v>198</v>
      </c>
      <c r="E41" s="40">
        <v>29722</v>
      </c>
      <c r="F41" s="39" t="s">
        <v>73</v>
      </c>
      <c r="G41" s="41" t="s">
        <v>50</v>
      </c>
      <c r="H41" s="44" t="s">
        <v>48</v>
      </c>
      <c r="I41" s="46" t="s">
        <v>65</v>
      </c>
      <c r="J41" s="41">
        <v>0</v>
      </c>
      <c r="K41" s="41">
        <v>0</v>
      </c>
      <c r="L41" s="46"/>
      <c r="M41" s="47">
        <v>8</v>
      </c>
      <c r="N41" s="47">
        <v>5</v>
      </c>
      <c r="O41" s="47"/>
      <c r="P41" s="47"/>
      <c r="Q41" s="47"/>
      <c r="R41" s="47"/>
      <c r="S41" s="47"/>
      <c r="T41" s="46">
        <v>5000</v>
      </c>
      <c r="U41" s="47"/>
      <c r="V41" s="47"/>
      <c r="W41" s="35"/>
      <c r="X41" s="51">
        <v>39</v>
      </c>
      <c r="Y41" s="36">
        <f>Salaire_Base(Tableau2[[#This Row],[Catégorie]])</f>
        <v>240062.05000000002</v>
      </c>
      <c r="Z41" s="36">
        <f t="shared" si="0"/>
        <v>240075.05000000002</v>
      </c>
      <c r="AA41" s="36" t="str">
        <f t="shared" si="1"/>
        <v>RG</v>
      </c>
    </row>
    <row r="42" spans="1:27" ht="19.5" x14ac:dyDescent="0.3">
      <c r="A42" s="12">
        <v>41</v>
      </c>
      <c r="B42" s="39" t="s">
        <v>202</v>
      </c>
      <c r="C42" s="39" t="s">
        <v>203</v>
      </c>
      <c r="D42" s="39" t="s">
        <v>204</v>
      </c>
      <c r="E42" s="40">
        <v>28366</v>
      </c>
      <c r="F42" s="39" t="s">
        <v>60</v>
      </c>
      <c r="G42" s="41" t="s">
        <v>50</v>
      </c>
      <c r="H42" s="48" t="s">
        <v>46</v>
      </c>
      <c r="I42" s="46" t="s">
        <v>65</v>
      </c>
      <c r="J42" s="41">
        <v>0</v>
      </c>
      <c r="K42" s="41">
        <v>1</v>
      </c>
      <c r="L42" s="46"/>
      <c r="M42" s="47"/>
      <c r="N42" s="47"/>
      <c r="O42" s="47"/>
      <c r="P42" s="47"/>
      <c r="Q42" s="47"/>
      <c r="R42" s="47">
        <v>55000</v>
      </c>
      <c r="S42" s="47"/>
      <c r="T42" s="46">
        <v>2500</v>
      </c>
      <c r="U42" s="47"/>
      <c r="V42" s="47">
        <v>30000</v>
      </c>
      <c r="W42" s="35"/>
      <c r="X42" s="51">
        <v>42</v>
      </c>
      <c r="Y42" s="36">
        <f>Salaire_Base(Tableau2[[#This Row],[Catégorie]])</f>
        <v>469897.63000000006</v>
      </c>
      <c r="Z42" s="36">
        <f t="shared" si="0"/>
        <v>469897.63000000006</v>
      </c>
      <c r="AA42" s="36" t="str">
        <f t="shared" si="1"/>
        <v>RC</v>
      </c>
    </row>
    <row r="43" spans="1:27" ht="19.5" x14ac:dyDescent="0.3">
      <c r="A43" s="12">
        <v>42</v>
      </c>
      <c r="B43" s="39" t="s">
        <v>205</v>
      </c>
      <c r="C43" s="39" t="s">
        <v>206</v>
      </c>
      <c r="D43" s="39" t="s">
        <v>207</v>
      </c>
      <c r="E43" s="40">
        <v>28234</v>
      </c>
      <c r="F43" s="39" t="s">
        <v>208</v>
      </c>
      <c r="G43" s="41" t="s">
        <v>50</v>
      </c>
      <c r="H43" s="44" t="s">
        <v>48</v>
      </c>
      <c r="I43" s="46" t="s">
        <v>51</v>
      </c>
      <c r="J43" s="41">
        <v>2</v>
      </c>
      <c r="K43" s="41">
        <v>5</v>
      </c>
      <c r="L43" s="46"/>
      <c r="M43" s="47"/>
      <c r="N43" s="47"/>
      <c r="O43" s="47"/>
      <c r="P43" s="47"/>
      <c r="Q43" s="47"/>
      <c r="R43" s="47"/>
      <c r="S43" s="47"/>
      <c r="T43" s="46"/>
      <c r="U43" s="47">
        <v>10000</v>
      </c>
      <c r="V43" s="47"/>
      <c r="W43" s="35"/>
      <c r="X43" s="51">
        <v>43</v>
      </c>
      <c r="Y43" s="36">
        <f>Salaire_Base(Tableau2[[#This Row],[Catégorie]])</f>
        <v>240062.05000000002</v>
      </c>
      <c r="Z43" s="36">
        <f t="shared" si="0"/>
        <v>240062.05000000002</v>
      </c>
      <c r="AA43" s="36" t="str">
        <f t="shared" si="1"/>
        <v>RG</v>
      </c>
    </row>
    <row r="44" spans="1:27" ht="19.5" x14ac:dyDescent="0.3">
      <c r="A44" s="12">
        <v>43</v>
      </c>
      <c r="B44" s="39" t="s">
        <v>209</v>
      </c>
      <c r="C44" s="39" t="s">
        <v>210</v>
      </c>
      <c r="D44" s="39" t="s">
        <v>211</v>
      </c>
      <c r="E44" s="40">
        <v>29024</v>
      </c>
      <c r="F44" s="39" t="s">
        <v>212</v>
      </c>
      <c r="G44" s="41" t="s">
        <v>50</v>
      </c>
      <c r="H44" s="44" t="s">
        <v>48</v>
      </c>
      <c r="I44" s="46" t="s">
        <v>51</v>
      </c>
      <c r="J44" s="41">
        <v>1</v>
      </c>
      <c r="K44" s="41">
        <v>1</v>
      </c>
      <c r="L44" s="46"/>
      <c r="M44" s="47">
        <v>8</v>
      </c>
      <c r="N44" s="47">
        <v>5</v>
      </c>
      <c r="O44" s="47"/>
      <c r="P44" s="47">
        <v>3</v>
      </c>
      <c r="Q44" s="47"/>
      <c r="R44" s="47"/>
      <c r="S44" s="47">
        <v>20000</v>
      </c>
      <c r="T44" s="46"/>
      <c r="U44" s="47"/>
      <c r="V44" s="47"/>
      <c r="W44" s="35"/>
      <c r="X44" s="51">
        <v>40</v>
      </c>
      <c r="Y44" s="36">
        <f>Salaire_Base(Tableau2[[#This Row],[Catégorie]])</f>
        <v>240062.05000000002</v>
      </c>
      <c r="Z44" s="36">
        <f t="shared" si="0"/>
        <v>260078.05000000002</v>
      </c>
      <c r="AA44" s="36" t="str">
        <f t="shared" si="1"/>
        <v>RG</v>
      </c>
    </row>
    <row r="45" spans="1:27" ht="19.5" x14ac:dyDescent="0.3">
      <c r="A45" s="12">
        <v>44</v>
      </c>
      <c r="B45" s="39" t="s">
        <v>213</v>
      </c>
      <c r="C45" s="39" t="s">
        <v>214</v>
      </c>
      <c r="D45" s="39" t="s">
        <v>215</v>
      </c>
      <c r="E45" s="40">
        <v>27798</v>
      </c>
      <c r="F45" s="39" t="s">
        <v>175</v>
      </c>
      <c r="G45" s="41" t="s">
        <v>50</v>
      </c>
      <c r="H45" s="49" t="s">
        <v>47</v>
      </c>
      <c r="I45" s="46" t="s">
        <v>51</v>
      </c>
      <c r="J45" s="41">
        <v>1</v>
      </c>
      <c r="K45" s="41">
        <v>1</v>
      </c>
      <c r="L45" s="46"/>
      <c r="M45" s="47"/>
      <c r="N45" s="47"/>
      <c r="O45" s="47"/>
      <c r="P45" s="47">
        <v>2</v>
      </c>
      <c r="Q45" s="47">
        <v>8500</v>
      </c>
      <c r="R45" s="47"/>
      <c r="S45" s="47"/>
      <c r="T45" s="46">
        <v>2500</v>
      </c>
      <c r="U45" s="47"/>
      <c r="V45" s="47"/>
      <c r="W45" s="35"/>
      <c r="X45" s="51">
        <v>44</v>
      </c>
      <c r="Y45" s="36">
        <f>Salaire_Base(Tableau2[[#This Row],[Catégorie]])</f>
        <v>350126.60000000003</v>
      </c>
      <c r="Z45" s="36">
        <f t="shared" si="0"/>
        <v>358628.60000000003</v>
      </c>
      <c r="AA45" s="36" t="str">
        <f t="shared" si="1"/>
        <v>RG</v>
      </c>
    </row>
    <row r="46" spans="1:27" ht="19.5" x14ac:dyDescent="0.3">
      <c r="A46" s="12">
        <v>45</v>
      </c>
      <c r="B46" s="39" t="s">
        <v>216</v>
      </c>
      <c r="C46" s="39" t="s">
        <v>217</v>
      </c>
      <c r="D46" s="39" t="s">
        <v>218</v>
      </c>
      <c r="E46" s="40">
        <v>30764</v>
      </c>
      <c r="F46" s="39" t="s">
        <v>219</v>
      </c>
      <c r="G46" s="41" t="s">
        <v>49</v>
      </c>
      <c r="H46" s="49" t="s">
        <v>47</v>
      </c>
      <c r="I46" s="46" t="s">
        <v>51</v>
      </c>
      <c r="J46" s="41">
        <v>0</v>
      </c>
      <c r="K46" s="41">
        <v>2</v>
      </c>
      <c r="L46" s="47">
        <v>15000</v>
      </c>
      <c r="M46" s="47"/>
      <c r="N46" s="47"/>
      <c r="O46" s="47"/>
      <c r="P46" s="47"/>
      <c r="Q46" s="47"/>
      <c r="R46" s="47">
        <v>31500</v>
      </c>
      <c r="S46" s="47"/>
      <c r="T46" s="46"/>
      <c r="U46" s="47"/>
      <c r="V46" s="47"/>
      <c r="W46" s="35"/>
      <c r="X46" s="51">
        <v>36</v>
      </c>
      <c r="Y46" s="36">
        <f>Salaire_Base(Tableau2[[#This Row],[Catégorie]])</f>
        <v>350126.60000000003</v>
      </c>
      <c r="Z46" s="36">
        <f t="shared" si="0"/>
        <v>365126.60000000003</v>
      </c>
      <c r="AA46" s="36" t="str">
        <f t="shared" si="1"/>
        <v>RC</v>
      </c>
    </row>
    <row r="47" spans="1:27" ht="19.5" x14ac:dyDescent="0.3">
      <c r="A47" s="12">
        <v>46</v>
      </c>
      <c r="B47" s="39" t="s">
        <v>220</v>
      </c>
      <c r="C47" s="39" t="s">
        <v>221</v>
      </c>
      <c r="D47" s="39" t="s">
        <v>222</v>
      </c>
      <c r="E47" s="40">
        <v>31015</v>
      </c>
      <c r="F47" s="39" t="s">
        <v>116</v>
      </c>
      <c r="G47" s="41" t="s">
        <v>50</v>
      </c>
      <c r="H47" s="49" t="s">
        <v>47</v>
      </c>
      <c r="I47" s="46" t="s">
        <v>51</v>
      </c>
      <c r="J47" s="41">
        <v>1</v>
      </c>
      <c r="K47" s="41">
        <v>1</v>
      </c>
      <c r="L47" s="46"/>
      <c r="M47" s="47">
        <v>8</v>
      </c>
      <c r="N47" s="47">
        <v>5</v>
      </c>
      <c r="O47" s="47"/>
      <c r="P47" s="47">
        <v>4</v>
      </c>
      <c r="Q47" s="47"/>
      <c r="R47" s="47"/>
      <c r="S47" s="47"/>
      <c r="T47" s="46"/>
      <c r="U47" s="47">
        <v>15000</v>
      </c>
      <c r="V47" s="47"/>
      <c r="W47" s="35"/>
      <c r="X47" s="51">
        <v>35</v>
      </c>
      <c r="Y47" s="36">
        <f>Salaire_Base(Tableau2[[#This Row],[Catégorie]])</f>
        <v>350126.60000000003</v>
      </c>
      <c r="Z47" s="36">
        <f t="shared" si="0"/>
        <v>350143.60000000003</v>
      </c>
      <c r="AA47" s="36" t="str">
        <f t="shared" si="1"/>
        <v>RG</v>
      </c>
    </row>
    <row r="48" spans="1:27" ht="19.5" x14ac:dyDescent="0.3">
      <c r="A48" s="12">
        <v>47</v>
      </c>
      <c r="B48" s="39" t="s">
        <v>223</v>
      </c>
      <c r="C48" s="39" t="s">
        <v>224</v>
      </c>
      <c r="D48" s="39" t="s">
        <v>225</v>
      </c>
      <c r="E48" s="40">
        <v>27960</v>
      </c>
      <c r="F48" s="39" t="s">
        <v>137</v>
      </c>
      <c r="G48" s="41" t="s">
        <v>50</v>
      </c>
      <c r="H48" s="49" t="s">
        <v>47</v>
      </c>
      <c r="I48" s="46" t="s">
        <v>51</v>
      </c>
      <c r="J48" s="41">
        <v>2</v>
      </c>
      <c r="K48" s="41">
        <v>5</v>
      </c>
      <c r="L48" s="46"/>
      <c r="M48" s="47">
        <v>8</v>
      </c>
      <c r="N48" s="47"/>
      <c r="O48" s="47">
        <v>3</v>
      </c>
      <c r="P48" s="47"/>
      <c r="Q48" s="47"/>
      <c r="R48" s="47">
        <v>25000</v>
      </c>
      <c r="S48" s="47"/>
      <c r="T48" s="46"/>
      <c r="U48" s="47"/>
      <c r="V48" s="47"/>
      <c r="W48" s="35"/>
      <c r="X48" s="51">
        <v>43</v>
      </c>
      <c r="Y48" s="36">
        <f>Salaire_Base(Tableau2[[#This Row],[Catégorie]])</f>
        <v>350126.60000000003</v>
      </c>
      <c r="Z48" s="36">
        <f t="shared" si="0"/>
        <v>350137.60000000003</v>
      </c>
      <c r="AA48" s="36" t="str">
        <f t="shared" si="1"/>
        <v>RG</v>
      </c>
    </row>
    <row r="49" spans="1:27" ht="19.5" x14ac:dyDescent="0.3">
      <c r="A49" s="12">
        <v>48</v>
      </c>
      <c r="B49" s="39" t="s">
        <v>226</v>
      </c>
      <c r="C49" s="39" t="s">
        <v>227</v>
      </c>
      <c r="D49" s="39" t="s">
        <v>225</v>
      </c>
      <c r="E49" s="40">
        <v>31257</v>
      </c>
      <c r="F49" s="39" t="s">
        <v>155</v>
      </c>
      <c r="G49" s="41" t="s">
        <v>49</v>
      </c>
      <c r="H49" s="49" t="s">
        <v>47</v>
      </c>
      <c r="I49" s="46" t="s">
        <v>51</v>
      </c>
      <c r="J49" s="41">
        <v>0</v>
      </c>
      <c r="K49" s="41">
        <v>2</v>
      </c>
      <c r="L49" s="47">
        <v>9500</v>
      </c>
      <c r="M49" s="47"/>
      <c r="N49" s="47"/>
      <c r="O49" s="47"/>
      <c r="P49" s="47"/>
      <c r="Q49" s="47">
        <v>5000</v>
      </c>
      <c r="R49" s="47"/>
      <c r="S49" s="47">
        <v>25000</v>
      </c>
      <c r="T49" s="46">
        <v>3000</v>
      </c>
      <c r="U49" s="47">
        <v>14500</v>
      </c>
      <c r="V49" s="47"/>
      <c r="W49" s="35"/>
      <c r="X49" s="51">
        <v>34</v>
      </c>
      <c r="Y49" s="36">
        <f>Salaire_Base(Tableau2[[#This Row],[Catégorie]])</f>
        <v>350126.60000000003</v>
      </c>
      <c r="Z49" s="36">
        <f t="shared" si="0"/>
        <v>389626.60000000003</v>
      </c>
      <c r="AA49" s="36" t="str">
        <f t="shared" si="1"/>
        <v>RC</v>
      </c>
    </row>
    <row r="50" spans="1:27" ht="19.5" x14ac:dyDescent="0.3">
      <c r="A50" s="12">
        <v>49</v>
      </c>
      <c r="B50" s="39" t="s">
        <v>228</v>
      </c>
      <c r="C50" s="39" t="s">
        <v>229</v>
      </c>
      <c r="D50" s="39" t="s">
        <v>230</v>
      </c>
      <c r="E50" s="40">
        <v>31160</v>
      </c>
      <c r="F50" s="39" t="s">
        <v>60</v>
      </c>
      <c r="G50" s="41" t="s">
        <v>50</v>
      </c>
      <c r="H50" s="49" t="s">
        <v>47</v>
      </c>
      <c r="I50" s="46" t="s">
        <v>51</v>
      </c>
      <c r="J50" s="41">
        <v>2</v>
      </c>
      <c r="K50" s="41">
        <v>5</v>
      </c>
      <c r="L50" s="46"/>
      <c r="M50" s="47">
        <v>8</v>
      </c>
      <c r="N50" s="47"/>
      <c r="O50" s="47"/>
      <c r="P50" s="47"/>
      <c r="Q50" s="47"/>
      <c r="R50" s="47"/>
      <c r="S50" s="47"/>
      <c r="T50" s="46"/>
      <c r="U50" s="47"/>
      <c r="V50" s="47"/>
      <c r="W50" s="35"/>
      <c r="X50" s="51">
        <v>35</v>
      </c>
      <c r="Y50" s="36">
        <f>Salaire_Base(Tableau2[[#This Row],[Catégorie]])</f>
        <v>350126.60000000003</v>
      </c>
      <c r="Z50" s="36">
        <f t="shared" si="0"/>
        <v>350134.60000000003</v>
      </c>
      <c r="AA50" s="36" t="str">
        <f t="shared" si="1"/>
        <v>RG</v>
      </c>
    </row>
    <row r="51" spans="1:27" ht="19.5" x14ac:dyDescent="0.3">
      <c r="A51" s="12">
        <v>50</v>
      </c>
      <c r="B51" s="39" t="s">
        <v>231</v>
      </c>
      <c r="C51" s="39" t="s">
        <v>232</v>
      </c>
      <c r="D51" s="39" t="s">
        <v>233</v>
      </c>
      <c r="E51" s="40">
        <v>29941</v>
      </c>
      <c r="F51" s="39" t="s">
        <v>134</v>
      </c>
      <c r="G51" s="41" t="s">
        <v>50</v>
      </c>
      <c r="H51" s="49" t="s">
        <v>47</v>
      </c>
      <c r="I51" s="46" t="s">
        <v>65</v>
      </c>
      <c r="J51" s="41">
        <v>0</v>
      </c>
      <c r="K51" s="41">
        <v>0</v>
      </c>
      <c r="L51" s="46"/>
      <c r="M51" s="47">
        <v>8</v>
      </c>
      <c r="N51" s="47">
        <v>2</v>
      </c>
      <c r="O51" s="47">
        <v>3</v>
      </c>
      <c r="P51" s="47"/>
      <c r="Q51" s="47">
        <v>7000</v>
      </c>
      <c r="R51" s="47"/>
      <c r="S51" s="47"/>
      <c r="T51" s="46">
        <v>3000</v>
      </c>
      <c r="U51" s="47">
        <v>13500</v>
      </c>
      <c r="V51" s="47"/>
      <c r="W51" s="35"/>
      <c r="X51" s="51">
        <v>38</v>
      </c>
      <c r="Y51" s="36">
        <f>Salaire_Base(Tableau2[[#This Row],[Catégorie]])</f>
        <v>350126.60000000003</v>
      </c>
      <c r="Z51" s="36">
        <f t="shared" si="0"/>
        <v>357139.60000000003</v>
      </c>
      <c r="AA51" s="36" t="str">
        <f t="shared" si="1"/>
        <v>RG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72FC0-394D-4838-BE9E-D018E23B1630}">
  <sheetPr codeName="Feuil6"/>
  <dimension ref="A1:A3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46</v>
      </c>
    </row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C5D96-BE59-4758-9BB0-A3A50BAE9F20}">
  <sheetPr codeName="Feuil7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49</v>
      </c>
    </row>
    <row r="2" spans="1:1" x14ac:dyDescent="0.25">
      <c r="A2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CA87-07FC-4861-8087-5939363D003A}">
  <sheetPr codeName="Feuil9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51</v>
      </c>
    </row>
    <row r="2" spans="1:1" x14ac:dyDescent="0.25">
      <c r="A2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livre</vt:lpstr>
      <vt:lpstr>journal</vt:lpstr>
      <vt:lpstr>bulletin</vt:lpstr>
      <vt:lpstr>donnees</vt:lpstr>
      <vt:lpstr>dashboard</vt:lpstr>
      <vt:lpstr>camembert</vt:lpstr>
      <vt:lpstr>categorie</vt:lpstr>
      <vt:lpstr>ipres</vt:lpstr>
      <vt:lpstr>civilite</vt:lpstr>
      <vt:lpstr>age</vt:lpstr>
      <vt:lpstr>base</vt:lpstr>
      <vt:lpstr>Catégorie</vt:lpstr>
      <vt:lpstr>Sexe</vt:lpstr>
      <vt:lpstr>EtatMat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</dc:creator>
  <cp:lastModifiedBy>ABDALLAH</cp:lastModifiedBy>
  <cp:lastPrinted>2020-07-02T17:11:24Z</cp:lastPrinted>
  <dcterms:created xsi:type="dcterms:W3CDTF">2020-05-20T13:31:20Z</dcterms:created>
  <dcterms:modified xsi:type="dcterms:W3CDTF">2020-07-03T16:08:10Z</dcterms:modified>
</cp:coreProperties>
</file>